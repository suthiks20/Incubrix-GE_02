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START" sheetId="1" state="visible" r:id="rId3"/>
    <sheet name="01_INSIGHT" sheetId="2" state="visible" r:id="rId4"/>
    <sheet name="02_ASSETS" sheetId="3" state="visible" r:id="rId5"/>
    <sheet name="03_ENGINE_LAUNCH" sheetId="4" state="visible" r:id="rId6"/>
    <sheet name="04_SELF_CHECK"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<sst xmlns="http://schemas.openxmlformats.org/spreadsheetml/2006/main" count="789" uniqueCount="524">
  <si>
    <t xml:space="preserve">IncuBrix Growth Engineer | Option 2: Social Media Marketing and Content Engine | Submission Workbook</t>
  </si>
  <si>
    <t xml:space="preserve">Complete tabs 00-04. YELLOW = your input. GREEN = calculated. GREY = guidance. Every claim needs a link to evidence.</t>
  </si>
  <si>
    <t xml:space="preserve">Candidate details and links</t>
  </si>
  <si>
    <t xml:space="preserve">Submission checklist</t>
  </si>
  <si>
    <t xml:space="preserve">Candidate ID (from email)</t>
  </si>
  <si>
    <t xml:space="preserve">Completed workbook</t>
  </si>
  <si>
    <t xml:space="preserve">Full name</t>
  </si>
  <si>
    <t xml:space="preserve">Main output files</t>
  </si>
  <si>
    <t xml:space="preserve">Registered email</t>
  </si>
  <si>
    <t xml:space="preserve">Engine repository + README</t>
  </si>
  <si>
    <t xml:space="preserve">College and degree</t>
  </si>
  <si>
    <t xml:space="preserve">Launch kit</t>
  </si>
  <si>
    <t xml:space="preserve">Assessment start (date/time)</t>
  </si>
  <si>
    <t xml:space="preserve">Both video links</t>
  </si>
  <si>
    <t xml:space="preserve">Submission time (date/time)</t>
  </si>
  <si>
    <t xml:space="preserve">Declaration accepted (row below)</t>
  </si>
  <si>
    <t xml:space="preserve">Main output folder URL</t>
  </si>
  <si>
    <t xml:space="preserve">main_output/ (calendar.csv, scheduler.csv, assets/) - add your shared-folder link when you upload</t>
  </si>
  <si>
    <t xml:space="preserve">Repository or workflow URL</t>
  </si>
  <si>
    <t xml:space="preserve">engine/ (README.md, run.py, tests) - add your repository link when you upload</t>
  </si>
  <si>
    <t xml:space="preserve">Launch kit URL</t>
  </si>
  <si>
    <t xml:space="preserve">launch_kit/launch_kit.md (also made as a Claude Doc) - add your link</t>
  </si>
  <si>
    <t xml:space="preserve">Product walkthrough video URL (max 5 min)</t>
  </si>
  <si>
    <t xml:space="preserve">TO DO: record and add link (script in video_scripts.md)</t>
  </si>
  <si>
    <t xml:space="preserve">Technical demo video URL (max 8 min)</t>
  </si>
  <si>
    <t xml:space="preserve">AI tools, data sources and services used</t>
  </si>
  <si>
    <t xml:space="preserve">IncuBrix product (LinkedIn Content template, Repurpose Video/Clips); Claude (copy, engine code, launch kit drafting); Gemini free tier (optional, engine falls back to an offline generator without a key); Python, Pillow, ffmpeg, SQLite, DejaVu fonts (free licence); LinkedIn/Instagram/Facebook pages read manually for the audit.</t>
  </si>
  <si>
    <t xml:space="preserve">Total money spent (if any) and on what</t>
  </si>
  <si>
    <t xml:space="preserve">0 as far as recorded: IncuBrix credits provided with the product (300 at start), free Gemini key. CONFIRM before submitting.</t>
  </si>
  <si>
    <t xml:space="preserve">Manual work disclosed (what and how much)</t>
  </si>
  <si>
    <t xml:space="preserve">Manual: all product testing, screenshots, account and peer audit (3 of 5 peers), choice of platforms, recording both videos, running the 20-person preference test. AI: Claude drafted the 30 asset texts, the engine code, tests, README and launch kit; I review and can explain and rerun them.</t>
  </si>
  <si>
    <t xml:space="preserve">Declaration</t>
  </si>
  <si>
    <t xml:space="preserve">I confirm this is my own work and that my sources, data, contacts, AI use, spending and manual work are accurately disclosed. I can explain and rerun everything.</t>
  </si>
  <si>
    <t xml:space="preserve">I accept the declaration</t>
  </si>
  <si>
    <t xml:space="preserve">Your self-check summary (calculated from tab 04)</t>
  </si>
  <si>
    <t xml:space="preserve">Minimums met</t>
  </si>
  <si>
    <t xml:space="preserve">Self-score (out of 100)</t>
  </si>
  <si>
    <t xml:space="preserve">Declaration accepted</t>
  </si>
  <si>
    <t xml:space="preserve">Ready to submit?</t>
  </si>
  <si>
    <t xml:space="preserve">Product and Market Insight</t>
  </si>
  <si>
    <t xml:space="preserve">Use the product access in your invitation email. Facts need evidence; ideas must be clearly labelled as ideas.</t>
  </si>
  <si>
    <t xml:space="preserve">A. Five product observations</t>
  </si>
  <si>
    <t xml:space="preserve">#</t>
  </si>
  <si>
    <t xml:space="preserve">Product area</t>
  </si>
  <si>
    <t xml:space="preserve">What happened</t>
  </si>
  <si>
    <t xml:space="preserve">What worked or was difficult</t>
  </si>
  <si>
    <t xml:space="preserve">Evidence URL / file</t>
  </si>
  <si>
    <t xml:space="preserve">Why it matters for growth</t>
  </si>
  <si>
    <t xml:space="preserve">LinkedIn Content template + chat edit</t>
  </si>
  <si>
    <t xml:space="preserve">Typed one idea, chose a single LinkedIn post, got a full draft. First draft ran about 175 words against 150 asked, with unsourced numbers (4-7 hours, April), no hashtags, no call to action and no mention of IncuBrix. Asked for a rewrite: under 150 words, remove two claims, end with a question.</t>
  </si>
  <si>
    <t xml:space="preserve">Worked: the rewrite followed all three instructions; draft plus rewrite cost 17 credits (300 to 283) and the balance is visible. Difficult: after I said no it asked another question; I had to type 'write the post now'.</t>
  </si>
  <si>
    <t xml:space="preserve">product_notes.txt; evidence/product_evidence/Screenshots/LinkedIn/</t>
  </si>
  <si>
    <t xml:space="preserve">Editing by instruction is a real strength, but raw output still needs brand rules and verified product facts before posting. That is the gap the content engine fills.</t>
  </si>
  <si>
    <t xml:space="preserve">Repurpose Video / Clips</t>
  </si>
  <si>
    <t xml:space="preserve">Uploaded source_video_2.mp4 (2:25). Clips found one 32-second 9:16 clip (0:48-1:20, score 57), 1080x1920, cost 13 credits. My first 1:33 upload was rejected (2-minute minimum).</t>
  </si>
  <si>
    <t xml:space="preserve">Worked: finding the moment. Difficult: roughly 70% of the frame was black bars (letterboxed, not reframed), no captions in sampled frames, quiet audio (mean about -33.5 dB). Chat still said 'Cutting clips' after the review screen appeared.</t>
  </si>
  <si>
    <t xml:space="preserve">evidence/product_evidence/Screenshots/Repurpose Video/ (incl. generated clip.mp4); product_notes.txt</t>
  </si>
  <si>
    <t xml:space="preserve">A clip that needs reframing, captions and a volume fix is not publish-ready, so shipped videos need a finishing step. It is also the strongest 'honest test' content.</t>
  </si>
  <si>
    <t xml:space="preserve">First-time setup and navigation</t>
  </si>
  <si>
    <t xml:space="preserve">Content Hub empty; Publishing page says to upload in the Content Hub while also showing an Upload new button; a 'reconnect accounts' banner appears with 0 of 14 accounts connected; TikTok is blocked in my region. Analytics shows sample data and says so.</t>
  </si>
  <si>
    <t xml:space="preserve">Worked: the sample-data label. Difficult: mixed messages at the first steps.</t>
  </si>
  <si>
    <t xml:space="preserve">evidence/product_evidence/Screenshots/Product Overview/</t>
  </si>
  <si>
    <t xml:space="preserve">Small wording gaps in the first minutes are where new users stall; content should set expectations (what to do first, what is region-limited).</t>
  </si>
  <si>
    <t xml:space="preserve">IncuBrix's own social accounts</t>
  </si>
  <si>
    <t xml:space="preserve">5 posts across 3 platforms in 30 days. LinkedIn 1.2K followers, Instagram 69, Facebook 37. One graphic ('A Content Creator's Guide') went out unchanged on all three.</t>
  </si>
  <si>
    <t xml:space="preserve">Worked: LinkedIn is the only account with real traction. Difficult: low volume and copy-paste across platforms, which is the problem the product says it solves.</t>
  </si>
  <si>
    <t xml:space="preserve">evidence/product_evidence/Audits/ (Incubrix Linkedin, Instagram, Facebook); audits/account_audit.md</t>
  </si>
  <si>
    <t xml:space="preserve">There is room to grow with a steady, platform-native routine; LinkedIn is the base to build on.</t>
  </si>
  <si>
    <t xml:space="preserve">Peer accounts (3 of 5 audited)</t>
  </si>
  <si>
    <t xml:space="preserve">On LinkedIn, Metricool (47K followers), OpusClip (32K) and Descript (37K) each posted roughly 8-16 times in about 4 weeks (approximate hand count), against IncuBrix's 3. They use product demos, original data and captioned video, and credit people by name. Buffer and Later were not audited (time).</t>
  </si>
  <si>
    <t xml:space="preserve">Worked: clear formats to learn from. Difficult: counts are approximate; reaction counts are only visible on some posts.</t>
  </si>
  <si>
    <t xml:space="preserve">evidence/product_evidence/Audits/peers_linkedin_screenshots_24Oct2026.docx.docx; audits/account_audit.md</t>
  </si>
  <si>
    <t xml:space="preserve">Peers set the posting rhythm and the proof-led style the audience expects.</t>
  </si>
  <si>
    <t xml:space="preserve">B. Three biggest opportunities for Social media and content</t>
  </si>
  <si>
    <t xml:space="preserve">Rank</t>
  </si>
  <si>
    <t xml:space="preserve">Opportunity</t>
  </si>
  <si>
    <t xml:space="preserve">Evidence</t>
  </si>
  <si>
    <t xml:space="preserve">Expected impact</t>
  </si>
  <si>
    <t xml:space="preserve">How to measure</t>
  </si>
  <si>
    <t xml:space="preserve">30-day target</t>
  </si>
  <si>
    <t xml:space="preserve">Short vertical product-demo and honest-test videos with burned-in captions</t>
  </si>
  <si>
    <t xml:space="preserve">Observations 2 and 4: IncuBrix shows the problem but not the product in action; the clip I got had no captions. Show only what I saw working: the chat draft and rewrite, and the clip finder.</t>
  </si>
  <si>
    <t xml:space="preserve">More watchable proof and a reason to follow on Instagram and YouTube Shorts.</t>
  </si>
  <si>
    <t xml:space="preserve">Views, average watch share, UTM clicks per video (utm_content = asset ID).</t>
  </si>
  <si>
    <t xml:space="preserve">TARGET: 10 captioned vertical videos published in 30 days (already built: V01-V10).</t>
  </si>
  <si>
    <t xml:space="preserve">One idea, native versions per platform</t>
  </si>
  <si>
    <t xml:space="preserve">Observation 4: one graphic copied to three platforms. Engine turns one input into LinkedIn post, carousel and short video with a different hook each.</t>
  </si>
  <si>
    <t xml:space="preserve">Fewer copy-paste posts and steady output without extra effort.</t>
  </si>
  <si>
    <t xml:space="preserve">Share of ideas shipped in 2+ formats; duplicate rate = 0; assets per input.</t>
  </si>
  <si>
    <t xml:space="preserve">TARGET: every idea shipped in at least 2 formats; 30 assets scheduled over 30 days; 0 duplicates.</t>
  </si>
  <si>
    <t xml:space="preserve">Make LinkedIn the lead channel</t>
  </si>
  <si>
    <t xml:space="preserve">Observation 4: 1.2K LinkedIn followers vs 69 and 37; observation 5: peers post about 8-16 times in 4 weeks.</t>
  </si>
  <si>
    <t xml:space="preserve">Fastest route to sign-ups because it is the only account with traction.</t>
  </si>
  <si>
    <t xml:space="preserve">UTM clicks and sign-ups by utm_source; engagement rate = (reactions + comments + shares) / impressions.</t>
  </si>
  <si>
    <t xml:space="preserve">TARGET: 14 LinkedIn posts in 30 days (vs 3 before); 150 tracked clicks and 8 sign-ups across all platforms (hypotheses, revisit at day 14).</t>
  </si>
  <si>
    <t xml:space="preserve">Content Assets</t>
  </si>
  <si>
    <t xml:space="preserve">One row per asset, matching calendar.csv. Link to the final file and the editable source for each.</t>
  </si>
  <si>
    <t xml:space="preserve">asset_id</t>
  </si>
  <si>
    <t xml:space="preserve">platform</t>
  </si>
  <si>
    <t xml:space="preserve">format</t>
  </si>
  <si>
    <t xml:space="preserve">content_pillar</t>
  </si>
  <si>
    <t xml:space="preserve">hook</t>
  </si>
  <si>
    <t xml:space="preserve">caption</t>
  </si>
  <si>
    <t xml:space="preserve">cta</t>
  </si>
  <si>
    <t xml:space="preserve">utm_link</t>
  </si>
  <si>
    <t xml:space="preserve">final_file_url</t>
  </si>
  <si>
    <t xml:space="preserve">source_file_url</t>
  </si>
  <si>
    <t xml:space="preserve">source_input</t>
  </si>
  <si>
    <t xml:space="preserve">tools_used</t>
  </si>
  <si>
    <t xml:space="preserve">rights_checked</t>
  </si>
  <si>
    <t xml:space="preserve">ai_label_needed</t>
  </si>
  <si>
    <t xml:space="preserve">scheduled_date</t>
  </si>
  <si>
    <t xml:space="preserve">test_published_url</t>
  </si>
  <si>
    <t xml:space="preserve">impressions_or_views</t>
  </si>
  <si>
    <t xml:space="preserve">engagement_rate</t>
  </si>
  <si>
    <t xml:space="preserve">clicks</t>
  </si>
  <si>
    <t xml:space="preserve">status</t>
  </si>
  <si>
    <t xml:space="preserve">notes</t>
  </si>
  <si>
    <t xml:space="preserve">duplicate_check</t>
  </si>
  <si>
    <t xml:space="preserve">completeness_check</t>
  </si>
  <si>
    <t xml:space="preserve">C01</t>
  </si>
  <si>
    <t xml:space="preserve">LinkedIn</t>
  </si>
  <si>
    <t xml:space="preserve">Carousel</t>
  </si>
  <si>
    <t xml:space="preserve">The reformatting problem and how to fix it</t>
  </si>
  <si>
    <t xml:space="preserve">Stop pasting one graphic on every platform</t>
  </si>
  <si>
    <t xml:space="preserve">Stop pasting one graphic on every platform
The same graphic on three platforms reads as copied on all three. Here is a simple way to adapt one idea without starting from zero.
Which platform gets your idea first?
#ContentCreation #ShortFormVideo #CreatorTools</t>
  </si>
  <si>
    <t xml:space="preserve">Which platform gets your idea first?</t>
  </si>
  <si>
    <t xml:space="preserve">https://incubrix.com/?utm_source=linkedin&amp;utm_medium=social&amp;utm_campaign=growth_engine_2026q4&amp;utm_content=C01</t>
  </si>
  <si>
    <t xml:space="preserve">main_output/assets/C01/C01.pdf</t>
  </si>
  <si>
    <t xml:space="preserve">main_output/assets/C01/C01_source.json</t>
  </si>
  <si>
    <t xml:space="preserve">authored library (product_notes.txt, input_1.txt)</t>
  </si>
  <si>
    <t xml:space="preserve">Claude (copy), Python, Pillow, ffmpeg</t>
  </si>
  <si>
    <t xml:space="preserve">Yes</t>
  </si>
  <si>
    <t xml:space="preserve">No</t>
  </si>
  <si>
    <t xml:space="preserve">2026-10-26 13:00 UTC</t>
  </si>
  <si>
    <t xml:space="preserve">Ready</t>
  </si>
  <si>
    <t xml:space="preserve">Facts: none</t>
  </si>
  <si>
    <t xml:space="preserve">V02</t>
  </si>
  <si>
    <t xml:space="preserve">Instagram</t>
  </si>
  <si>
    <t xml:space="preserve">Short video</t>
  </si>
  <si>
    <t xml:space="preserve">Honest tests</t>
  </si>
  <si>
    <t xml:space="preserve">I asked for under 150 words. I got 175.</t>
  </si>
  <si>
    <t xml:space="preserve">I asked for under 150 words. I got 175.
I tested the LinkedIn Content template. The draft ran long and carried claims with no source. A rewrite by chat fixed it.
Do you check drafts before you post?
Link in bio.
#ContentCreation #CreatorTips #Reels #Repurposing</t>
  </si>
  <si>
    <t xml:space="preserve">Do you check drafts before you post?</t>
  </si>
  <si>
    <t xml:space="preserve">https://incubrix.com/?utm_source=instagram&amp;utm_medium=social&amp;utm_campaign=growth_engine_2026q4&amp;utm_content=V02</t>
  </si>
  <si>
    <t xml:space="preserve">main_output/assets/V02/V02.mp4</t>
  </si>
  <si>
    <t xml:space="preserve">main_output/assets/V02/V02_source.json</t>
  </si>
  <si>
    <t xml:space="preserve">2026-10-27 17:00 UTC</t>
  </si>
  <si>
    <t xml:space="preserve">Facts: F1,F2,F7; silent video, add licensed audio in-app if wanted</t>
  </si>
  <si>
    <t xml:space="preserve">C02</t>
  </si>
  <si>
    <t xml:space="preserve">Hooks and captions</t>
  </si>
  <si>
    <t xml:space="preserve">Five hook patterns that work for creators</t>
  </si>
  <si>
    <t xml:space="preserve">Five hook patterns that work for creators
Hooks are easier when you pick a pattern. These five are plain and need no tricks.
Which pattern will you try first?
#ContentCreation #ShortFormVideo #CreatorTools</t>
  </si>
  <si>
    <t xml:space="preserve">Which pattern will you try first?</t>
  </si>
  <si>
    <t xml:space="preserve">https://incubrix.com/?utm_source=linkedin&amp;utm_medium=social&amp;utm_campaign=growth_engine_2026q4&amp;utm_content=C02</t>
  </si>
  <si>
    <t xml:space="preserve">main_output/assets/C02/C02.pdf</t>
  </si>
  <si>
    <t xml:space="preserve">main_output/assets/C02/C02_source.json</t>
  </si>
  <si>
    <t xml:space="preserve">2026-10-28 13:00 UTC</t>
  </si>
  <si>
    <t xml:space="preserve">V01</t>
  </si>
  <si>
    <t xml:space="preserve">YouTube Shorts</t>
  </si>
  <si>
    <t xml:space="preserve">One video, three platforms, three shapes</t>
  </si>
  <si>
    <t xml:space="preserve">One video, three platforms, three shapes
One video does not fit every feed. LinkedIn, Reels and Shorts each reward a different first line and a different frame.
Which platform do you rework first?
Link: https://incubrix.com/?utm_source=youtube&amp;utm_medium=social&amp;utm_campaign=growth_engine_2026q4&amp;utm_content=V01
#Shorts #ContentCreation #CreatorTips</t>
  </si>
  <si>
    <t xml:space="preserve">Which platform do you rework first?</t>
  </si>
  <si>
    <t xml:space="preserve">https://incubrix.com/?utm_source=youtube&amp;utm_medium=social&amp;utm_campaign=growth_engine_2026q4&amp;utm_content=V01</t>
  </si>
  <si>
    <t xml:space="preserve">main_output/assets/V01/V01.mp4</t>
  </si>
  <si>
    <t xml:space="preserve">main_output/assets/V01/V01_source.json</t>
  </si>
  <si>
    <t xml:space="preserve">2026-10-28 16:00 UTC</t>
  </si>
  <si>
    <t xml:space="preserve">Facts: none; silent video, add licensed audio in-app if wanted</t>
  </si>
  <si>
    <t xml:space="preserve">C03</t>
  </si>
  <si>
    <t xml:space="preserve">Idea-to-published workflow</t>
  </si>
  <si>
    <t xml:space="preserve">My idea-to-published workflow</t>
  </si>
  <si>
    <t xml:space="preserve">My idea-to-published workflow
A repeatable routine matters more than a perfect post. This is the one I use for each idea.
What would you change in this routine?
#ContentCreation #ShortFormVideo #CreatorTools</t>
  </si>
  <si>
    <t xml:space="preserve">What would you change in this routine?</t>
  </si>
  <si>
    <t xml:space="preserve">https://incubrix.com/?utm_source=linkedin&amp;utm_medium=social&amp;utm_campaign=growth_engine_2026q4&amp;utm_content=C03</t>
  </si>
  <si>
    <t xml:space="preserve">main_output/assets/C03/C03.pdf</t>
  </si>
  <si>
    <t xml:space="preserve">main_output/assets/C03/C03_source.json</t>
  </si>
  <si>
    <t xml:space="preserve">2026-10-29 13:00 UTC</t>
  </si>
  <si>
    <t xml:space="preserve">V04</t>
  </si>
  <si>
    <t xml:space="preserve">Your first line is the whole post</t>
  </si>
  <si>
    <t xml:space="preserve">Your first line is the whole post
Most people decide in the first two seconds. Put the answer first and cut the warm-up.
What is your hook for tomorrow's post?
Link in bio.
#ContentCreation #CreatorTips #Reels #Repurposing</t>
  </si>
  <si>
    <t xml:space="preserve">What is your hook for tomorrow's post?</t>
  </si>
  <si>
    <t xml:space="preserve">https://incubrix.com/?utm_source=instagram&amp;utm_medium=social&amp;utm_campaign=growth_engine_2026q4&amp;utm_content=V04</t>
  </si>
  <si>
    <t xml:space="preserve">main_output/assets/V04/V04.mp4</t>
  </si>
  <si>
    <t xml:space="preserve">main_output/assets/V04/V04_source.json</t>
  </si>
  <si>
    <t xml:space="preserve">2026-10-29 17:00 UTC</t>
  </si>
  <si>
    <t xml:space="preserve">C04</t>
  </si>
  <si>
    <t xml:space="preserve">Honest notes from my first session in IncuBrix</t>
  </si>
  <si>
    <t xml:space="preserve">Honest notes from my first session in IncuBrix
I tested the LinkedIn Content template and Clips. Here is what worked, what did not, and what it cost.
What would you want to know before trying it?
#ContentCreation #ShortFormVideo #CreatorTools</t>
  </si>
  <si>
    <t xml:space="preserve">What would you want to know before trying it?</t>
  </si>
  <si>
    <t xml:space="preserve">https://incubrix.com/?utm_source=linkedin&amp;utm_medium=social&amp;utm_campaign=growth_engine_2026q4&amp;utm_content=C04</t>
  </si>
  <si>
    <t xml:space="preserve">main_output/assets/C04/C04.pdf</t>
  </si>
  <si>
    <t xml:space="preserve">main_output/assets/C04/C04_source.json</t>
  </si>
  <si>
    <t xml:space="preserve">2026-10-30 13:00 UTC</t>
  </si>
  <si>
    <t xml:space="preserve">Facts: F1,F2,F3,F4,F5,F6,F7</t>
  </si>
  <si>
    <t xml:space="preserve">V06</t>
  </si>
  <si>
    <t xml:space="preserve">My idea-to-post routine, in five steps</t>
  </si>
  <si>
    <t xml:space="preserve">My idea-to-post routine, in five steps
A simple routine keeps posting steady: one idea, a draft, an edit, a native format per platform, then a scheduled slot.
Which step slows you down most?
Link in bio.
#ContentCreation #CreatorTips #Reels #Repurposing</t>
  </si>
  <si>
    <t xml:space="preserve">Which step slows you down most?</t>
  </si>
  <si>
    <t xml:space="preserve">https://incubrix.com/?utm_source=instagram&amp;utm_medium=social&amp;utm_campaign=growth_engine_2026q4&amp;utm_content=V06</t>
  </si>
  <si>
    <t xml:space="preserve">main_output/assets/V06/V06.mp4</t>
  </si>
  <si>
    <t xml:space="preserve">main_output/assets/V06/V06_source.json</t>
  </si>
  <si>
    <t xml:space="preserve">2026-10-31 17:00 UTC</t>
  </si>
  <si>
    <t xml:space="preserve">V03</t>
  </si>
  <si>
    <t xml:space="preserve">My clip came out with black bars on most of the frame</t>
  </si>
  <si>
    <t xml:space="preserve">My clip came out with black bars on most of the frame
I ran a 2:25 landscape video through Clips. It found a 32-second vertical clip, but roughly 70% of the frame was black bars.
What do you check before you post a clip?
Link: https://incubrix.com/?utm_source=youtube&amp;utm_medium=social&amp;utm_campaign=growth_engine_2026q4&amp;utm_content=V03
#Shorts #ContentCreation #CreatorTips</t>
  </si>
  <si>
    <t xml:space="preserve">What do you check before you post a clip?</t>
  </si>
  <si>
    <t xml:space="preserve">https://incubrix.com/?utm_source=youtube&amp;utm_medium=social&amp;utm_campaign=growth_engine_2026q4&amp;utm_content=V03</t>
  </si>
  <si>
    <t xml:space="preserve">main_output/assets/V03/V03.mp4</t>
  </si>
  <si>
    <t xml:space="preserve">main_output/assets/V03/V03_source.json</t>
  </si>
  <si>
    <t xml:space="preserve">2026-11-01 16:00 UTC</t>
  </si>
  <si>
    <t xml:space="preserve">Facts: F4,F5; silent video, add licensed audio in-app if wanted</t>
  </si>
  <si>
    <t xml:space="preserve">T01</t>
  </si>
  <si>
    <t xml:space="preserve">Text post</t>
  </si>
  <si>
    <t xml:space="preserve">Posting one video everywhere is not the same as posting well.</t>
  </si>
  <si>
    <t xml:space="preserve">Posting one video everywhere is not the same as posting well.
Each platform has its own shape. LinkedIn rewards context. Reels and Shorts reward a fast first line and a vertical frame.
I keep the idea and change three things: the first line, the frame and the ending.
It is slower than copy and paste. It also does not look copied.
Which of the three do you change first?
#ContentCreation #ShortFormVideo #CreatorTools</t>
  </si>
  <si>
    <t xml:space="preserve">Which of the three do you change first?</t>
  </si>
  <si>
    <t xml:space="preserve">https://incubrix.com/?utm_source=linkedin&amp;utm_medium=social&amp;utm_campaign=growth_engine_2026q4&amp;utm_content=T01</t>
  </si>
  <si>
    <t xml:space="preserve">main_output/assets/T01/T01.txt</t>
  </si>
  <si>
    <t xml:space="preserve">main_output/assets/T01/T01_source.json</t>
  </si>
  <si>
    <t xml:space="preserve">2026-11-02 13:00 UTC</t>
  </si>
  <si>
    <t xml:space="preserve">V08</t>
  </si>
  <si>
    <t xml:space="preserve">The product in action</t>
  </si>
  <si>
    <t xml:space="preserve">I edited a draft by talking to it</t>
  </si>
  <si>
    <t xml:space="preserve">I edited a draft by talking to it
In IncuBrix I typed one idea into the box and picked a single LinkedIn post. It wrote a full draft, and I changed it with a chat message.
How do you edit drafts today?
Link in bio.
#ContentCreation #CreatorTips #Reels #Repurposing</t>
  </si>
  <si>
    <t xml:space="preserve">How do you edit drafts today?</t>
  </si>
  <si>
    <t xml:space="preserve">https://incubrix.com/?utm_source=instagram&amp;utm_medium=social&amp;utm_campaign=growth_engine_2026q4&amp;utm_content=V08</t>
  </si>
  <si>
    <t xml:space="preserve">main_output/assets/V08/V08.mp4</t>
  </si>
  <si>
    <t xml:space="preserve">main_output/assets/V08/V08_source.json</t>
  </si>
  <si>
    <t xml:space="preserve">2026-11-03 17:00 UTC</t>
  </si>
  <si>
    <t xml:space="preserve">Facts: F1,F2,F3; silent video, add licensed audio in-app if wanted</t>
  </si>
  <si>
    <t xml:space="preserve">T02</t>
  </si>
  <si>
    <t xml:space="preserve">My first draft from an AI template ran long and cited numbers I could not source.</t>
  </si>
  <si>
    <t xml:space="preserve">My first draft from an AI template ran long and cited numbers I could not source.
I asked the LinkedIn Content template for a post under 150 words. The draft ran about 175, with figures that had no source, no hashtags and no call to action.
One rewrite by chat fixed the length, removed the claims and added a question.
Do you check every number in a draft before you post?
#ContentCreation #ShortFormVideo #CreatorTools</t>
  </si>
  <si>
    <t xml:space="preserve">Do you check every number in a draft before you post?</t>
  </si>
  <si>
    <t xml:space="preserve">https://incubrix.com/?utm_source=linkedin&amp;utm_medium=social&amp;utm_campaign=growth_engine_2026q4&amp;utm_content=T02</t>
  </si>
  <si>
    <t xml:space="preserve">main_output/assets/T02/T02.txt</t>
  </si>
  <si>
    <t xml:space="preserve">main_output/assets/T02/T02_source.json</t>
  </si>
  <si>
    <t xml:space="preserve">2026-11-04 13:00 UTC</t>
  </si>
  <si>
    <t xml:space="preserve">Facts: F1,F2,F7</t>
  </si>
  <si>
    <t xml:space="preserve">V05</t>
  </si>
  <si>
    <t xml:space="preserve">Add captions. It costs nothing.</t>
  </si>
  <si>
    <t xml:space="preserve">Add captions. It costs nothing.
Some people watch muted. Burned-in captions keep the idea readable without sound, and they are easy to check before you post.
Do you caption every video?
Link: https://incubrix.com/?utm_source=youtube&amp;utm_medium=social&amp;utm_campaign=growth_engine_2026q4&amp;utm_content=V05
#Shorts #ContentCreation #CreatorTips</t>
  </si>
  <si>
    <t xml:space="preserve">Do you caption every video?</t>
  </si>
  <si>
    <t xml:space="preserve">https://incubrix.com/?utm_source=youtube&amp;utm_medium=social&amp;utm_campaign=growth_engine_2026q4&amp;utm_content=V05</t>
  </si>
  <si>
    <t xml:space="preserve">main_output/assets/V05/V05.mp4</t>
  </si>
  <si>
    <t xml:space="preserve">main_output/assets/V05/V05_source.json</t>
  </si>
  <si>
    <t xml:space="preserve">2026-11-04 16:00 UTC</t>
  </si>
  <si>
    <t xml:space="preserve">T03</t>
  </si>
  <si>
    <t xml:space="preserve">The first line decides whether anyone reads the second.</t>
  </si>
  <si>
    <t xml:space="preserve">The first line decides whether anyone reads the second.
I write the answer first and cut anything that sounds like a warm-up.
Weak: Today I want to share some thoughts on formatting.
Better: Black bars waste a vertical clip.
The second version tells you what you will learn before you decide to keep reading.
What is the first line of your next post?
#ContentCreation #ShortFormVideo #CreatorTools</t>
  </si>
  <si>
    <t xml:space="preserve">What is the first line of your next post?</t>
  </si>
  <si>
    <t xml:space="preserve">https://incubrix.com/?utm_source=linkedin&amp;utm_medium=social&amp;utm_campaign=growth_engine_2026q4&amp;utm_content=T03</t>
  </si>
  <si>
    <t xml:space="preserve">main_output/assets/T03/T03.txt</t>
  </si>
  <si>
    <t xml:space="preserve">main_output/assets/T03/T03_source.json</t>
  </si>
  <si>
    <t xml:space="preserve">2026-11-05 13:00 UTC</t>
  </si>
  <si>
    <t xml:space="preserve">V10</t>
  </si>
  <si>
    <t xml:space="preserve">One idea. Three shapes.</t>
  </si>
  <si>
    <t xml:space="preserve">One idea. Three shapes.
Turn one idea into a post, a carousel and a short video. Write a different first line for each so none of them feels copied.
What idea could you reshape this week?
Link in bio.
#ContentCreation #CreatorTips #Reels #Repurposing</t>
  </si>
  <si>
    <t xml:space="preserve">What idea could you reshape this week?</t>
  </si>
  <si>
    <t xml:space="preserve">https://incubrix.com/?utm_source=instagram&amp;utm_medium=social&amp;utm_campaign=growth_engine_2026q4&amp;utm_content=V10</t>
  </si>
  <si>
    <t xml:space="preserve">main_output/assets/V10/V10.mp4</t>
  </si>
  <si>
    <t xml:space="preserve">main_output/assets/V10/V10_source.json</t>
  </si>
  <si>
    <t xml:space="preserve">2026-11-05 17:00 UTC</t>
  </si>
  <si>
    <t xml:space="preserve">T04</t>
  </si>
  <si>
    <t xml:space="preserve">I keep one routine for every idea: draft, edit, format, schedule.</t>
  </si>
  <si>
    <t xml:space="preserve">I keep one routine for every idea: draft, edit, format, schedule.
Posting stays steady when the routine is boring.
First I write the idea in one sentence. Then I get a draft, edit it by instruction, shape it for each platform and add a tracked link.
The edit step is where most of the quality comes from.
Which step in your routine takes the longest?
#ContentCreation #ShortFormVideo #CreatorTools</t>
  </si>
  <si>
    <t xml:space="preserve">Which step in your routine takes the longest?</t>
  </si>
  <si>
    <t xml:space="preserve">https://incubrix.com/?utm_source=linkedin&amp;utm_medium=social&amp;utm_campaign=growth_engine_2026q4&amp;utm_content=T04</t>
  </si>
  <si>
    <t xml:space="preserve">main_output/assets/T04/T04.txt</t>
  </si>
  <si>
    <t xml:space="preserve">main_output/assets/T04/T04_source.json</t>
  </si>
  <si>
    <t xml:space="preserve">2026-11-06 13:00 UTC</t>
  </si>
  <si>
    <t xml:space="preserve">C05</t>
  </si>
  <si>
    <t xml:space="preserve">A caption checklist before you post</t>
  </si>
  <si>
    <t xml:space="preserve">A caption checklist before you post
Run this list before every post. It takes a minute and catches most of the problems I see.
What would you add to this checklist?
Link in bio.
#ContentCreation #CreatorTips #Reels #Repurposing</t>
  </si>
  <si>
    <t xml:space="preserve">What would you add to this checklist?</t>
  </si>
  <si>
    <t xml:space="preserve">https://incubrix.com/?utm_source=instagram&amp;utm_medium=social&amp;utm_campaign=growth_engine_2026q4&amp;utm_content=C05</t>
  </si>
  <si>
    <t xml:space="preserve">main_output/assets/C05/C05.pdf</t>
  </si>
  <si>
    <t xml:space="preserve">main_output/assets/C05/C05_source.json</t>
  </si>
  <si>
    <t xml:space="preserve">2026-11-07 17:00 UTC</t>
  </si>
  <si>
    <t xml:space="preserve">V07</t>
  </si>
  <si>
    <t xml:space="preserve">Resizing is not repurposing</t>
  </si>
  <si>
    <t xml:space="preserve">Resizing is not repurposing
A letterboxed video is resized, not reframed. Reframing keeps the speaker in the frame and fills the screen.
Do you reframe or just resize?
Link: https://incubrix.com/?utm_source=youtube&amp;utm_medium=social&amp;utm_campaign=growth_engine_2026q4&amp;utm_content=V07
#Shorts #ContentCreation #CreatorTips</t>
  </si>
  <si>
    <t xml:space="preserve">Do you reframe or just resize?</t>
  </si>
  <si>
    <t xml:space="preserve">https://incubrix.com/?utm_source=youtube&amp;utm_medium=social&amp;utm_campaign=growth_engine_2026q4&amp;utm_content=V07</t>
  </si>
  <si>
    <t xml:space="preserve">main_output/assets/V07/V07.mp4</t>
  </si>
  <si>
    <t xml:space="preserve">main_output/assets/V07/V07_source.json</t>
  </si>
  <si>
    <t xml:space="preserve">2026-11-08 16:00 UTC</t>
  </si>
  <si>
    <t xml:space="preserve">T05</t>
  </si>
  <si>
    <t xml:space="preserve">A clip finder found my moment but I would not post the file.</t>
  </si>
  <si>
    <t xml:space="preserve">A clip finder found my moment but I would not post the file.
I ran a 2:25 landscape video through Clips. It found one 32-second clip at 1080x1920.
Roughly 70% of the frame was black bars, I saw no captions in the frames I sampled, and the audio was quiet.
The finding step is useful. The finishing step is still on me.
What do you fix after a clip tool does its part?
#ContentCreation #ShortFormVideo #CreatorTools</t>
  </si>
  <si>
    <t xml:space="preserve">What do you fix after a clip tool does its part?</t>
  </si>
  <si>
    <t xml:space="preserve">https://incubrix.com/?utm_source=linkedin&amp;utm_medium=social&amp;utm_campaign=growth_engine_2026q4&amp;utm_content=T05</t>
  </si>
  <si>
    <t xml:space="preserve">main_output/assets/T05/T05.txt</t>
  </si>
  <si>
    <t xml:space="preserve">main_output/assets/T05/T05_source.json</t>
  </si>
  <si>
    <t xml:space="preserve">2026-11-09 13:00 UTC</t>
  </si>
  <si>
    <t xml:space="preserve">Facts: F4,F5</t>
  </si>
  <si>
    <t xml:space="preserve">G01</t>
  </si>
  <si>
    <t xml:space="preserve">Graphic</t>
  </si>
  <si>
    <t xml:space="preserve">Resized is not reformatted</t>
  </si>
  <si>
    <t xml:space="preserve">Resized is not reformatted
A letterboxed clip is the same video in a smaller box. Reframing it for vertical is a separate step.
Do you reframe or resize?
Link in bio.
#ContentCreation #CreatorTips #Reels #Repurposing</t>
  </si>
  <si>
    <t xml:space="preserve">Do you reframe or resize?</t>
  </si>
  <si>
    <t xml:space="preserve">https://incubrix.com/?utm_source=instagram&amp;utm_medium=social&amp;utm_campaign=growth_engine_2026q4&amp;utm_content=G01</t>
  </si>
  <si>
    <t xml:space="preserve">main_output/assets/G01/G01.png</t>
  </si>
  <si>
    <t xml:space="preserve">main_output/assets/G01/G01_source.json</t>
  </si>
  <si>
    <t xml:space="preserve">2026-11-10 17:00 UTC</t>
  </si>
  <si>
    <t xml:space="preserve">T06</t>
  </si>
  <si>
    <t xml:space="preserve">Captions are the cheapest fix for a vertical video.</t>
  </si>
  <si>
    <t xml:space="preserve">Captions are the cheapest fix for a vertical video.
Some people watch muted, so a video without captions loses them in the first seconds.
Burn the captions into the frame, keep each line short, and read the whole video once with the sound off before you post.
Do you read your videos on mute before posting?
#ContentCreation #ShortFormVideo #CreatorTools</t>
  </si>
  <si>
    <t xml:space="preserve">Do you read your videos on mute before posting?</t>
  </si>
  <si>
    <t xml:space="preserve">https://incubrix.com/?utm_source=linkedin&amp;utm_medium=social&amp;utm_campaign=growth_engine_2026q4&amp;utm_content=T06</t>
  </si>
  <si>
    <t xml:space="preserve">main_output/assets/T06/T06.txt</t>
  </si>
  <si>
    <t xml:space="preserve">main_output/assets/T06/T06_source.json</t>
  </si>
  <si>
    <t xml:space="preserve">2026-11-11 13:00 UTC</t>
  </si>
  <si>
    <t xml:space="preserve">V09</t>
  </si>
  <si>
    <t xml:space="preserve">What 17 credits bought me</t>
  </si>
  <si>
    <t xml:space="preserve">What 17 credits bought me
A draft plus one rewrite cost 17 credits, from 300 to 283. One clip cost 13. Knowing the price per step helps you plan a month.
Do you track what each step costs?
Link: https://incubrix.com/?utm_source=youtube&amp;utm_medium=social&amp;utm_campaign=growth_engine_2026q4&amp;utm_content=V09
#Shorts #ContentCreation #CreatorTips</t>
  </si>
  <si>
    <t xml:space="preserve">Do you track what each step costs?</t>
  </si>
  <si>
    <t xml:space="preserve">https://incubrix.com/?utm_source=youtube&amp;utm_medium=social&amp;utm_campaign=growth_engine_2026q4&amp;utm_content=V09</t>
  </si>
  <si>
    <t xml:space="preserve">main_output/assets/V09/V09.mp4</t>
  </si>
  <si>
    <t xml:space="preserve">main_output/assets/V09/V09_source.json</t>
  </si>
  <si>
    <t xml:space="preserve">2026-11-11 16:00 UTC</t>
  </si>
  <si>
    <t xml:space="preserve">Facts: F3,F4; silent video, add licensed audio in-app if wanted</t>
  </si>
  <si>
    <t xml:space="preserve">T07</t>
  </si>
  <si>
    <t xml:space="preserve">Editing a draft by chat is the part of IncuBrix I would use again.</t>
  </si>
  <si>
    <t xml:space="preserve">Editing a draft by chat is the part of IncuBrix I would use again.
I typed one idea, chose a single LinkedIn post, and got a full draft. Then I asked for three changes in one message: under 150 words, remove two unsourced claims, end with a question.
It followed all three.
What would you ask a rewrite to change?
#ContentCreation #ShortFormVideo #CreatorTools</t>
  </si>
  <si>
    <t xml:space="preserve">What would you ask a rewrite to change?</t>
  </si>
  <si>
    <t xml:space="preserve">https://incubrix.com/?utm_source=linkedin&amp;utm_medium=social&amp;utm_campaign=growth_engine_2026q4&amp;utm_content=T07</t>
  </si>
  <si>
    <t xml:space="preserve">main_output/assets/T07/T07.txt</t>
  </si>
  <si>
    <t xml:space="preserve">main_output/assets/T07/T07_source.json</t>
  </si>
  <si>
    <t xml:space="preserve">2026-11-12 13:00 UTC</t>
  </si>
  <si>
    <t xml:space="preserve">Facts: F1,F2</t>
  </si>
  <si>
    <t xml:space="preserve">G02</t>
  </si>
  <si>
    <t xml:space="preserve">Answer first. Warm-up never.</t>
  </si>
  <si>
    <t xml:space="preserve">Answer first. Warm-up never.
The first line is the post. Lead with the answer and keep the warm-up out of it.
What is your first line this week?
Link in bio.
#ContentCreation #CreatorTips #Reels #Repurposing</t>
  </si>
  <si>
    <t xml:space="preserve">What is your first line this week?</t>
  </si>
  <si>
    <t xml:space="preserve">https://incubrix.com/?utm_source=instagram&amp;utm_medium=social&amp;utm_campaign=growth_engine_2026q4&amp;utm_content=G02</t>
  </si>
  <si>
    <t xml:space="preserve">main_output/assets/G02/G02.png</t>
  </si>
  <si>
    <t xml:space="preserve">main_output/assets/G02/G02_source.json</t>
  </si>
  <si>
    <t xml:space="preserve">2026-11-12 17:00 UTC</t>
  </si>
  <si>
    <t xml:space="preserve">T08</t>
  </si>
  <si>
    <t xml:space="preserve">Resizing a video is not the same as reframing it.</t>
  </si>
  <si>
    <t xml:space="preserve">Resizing a video is not the same as reframing it.
A landscape video squeezed into a vertical frame leaves bars above and below. The viewer sees a small picture inside a big screen.
Reframing follows the speaker and fills the frame. It is one more step, and it is the step that makes a clip look made for the platform.
Do you reframe, or resize and hope?
#ContentCreation #ShortFormVideo #CreatorTools</t>
  </si>
  <si>
    <t xml:space="preserve">Do you reframe, or resize and hope?</t>
  </si>
  <si>
    <t xml:space="preserve">https://incubrix.com/?utm_source=linkedin&amp;utm_medium=social&amp;utm_campaign=growth_engine_2026q4&amp;utm_content=T08</t>
  </si>
  <si>
    <t xml:space="preserve">main_output/assets/T08/T08.txt</t>
  </si>
  <si>
    <t xml:space="preserve">main_output/assets/T08/T08_source.json</t>
  </si>
  <si>
    <t xml:space="preserve">2026-11-13 13:00 UTC</t>
  </si>
  <si>
    <t xml:space="preserve">G03</t>
  </si>
  <si>
    <t xml:space="preserve">Check before you post: bars, captions, audio</t>
  </si>
  <si>
    <t xml:space="preserve">Check before you post: bars, captions, audio
I check three things on every vertical clip: black bars, captions and audio level. One failed check means it is not ready.
What is on your pre-post checklist?
Link in bio.
#ContentCreation #CreatorTips #Reels #Repurposing</t>
  </si>
  <si>
    <t xml:space="preserve">What is on your pre-post checklist?</t>
  </si>
  <si>
    <t xml:space="preserve">https://incubrix.com/?utm_source=instagram&amp;utm_medium=social&amp;utm_campaign=growth_engine_2026q4&amp;utm_content=G03</t>
  </si>
  <si>
    <t xml:space="preserve">main_output/assets/G03/G03.png</t>
  </si>
  <si>
    <t xml:space="preserve">main_output/assets/G03/G03_source.json</t>
  </si>
  <si>
    <t xml:space="preserve">2026-11-14 17:00 UTC</t>
  </si>
  <si>
    <t xml:space="preserve">Facts: F5</t>
  </si>
  <si>
    <t xml:space="preserve">T09</t>
  </si>
  <si>
    <t xml:space="preserve">Know what each step costs before you plan a month of posts.</t>
  </si>
  <si>
    <t xml:space="preserve">Know what each step costs before you plan a month of posts.
In my test, one draft plus one rewrite cost 17 credits, from 300 to 283. One clip cost 13 credits.
The balance stayed visible at the top, which made it easy to see.
Multiply that by your weekly plan before you commit.
Do you track the cost of each content step?
#ContentCreation #ShortFormVideo #CreatorTools</t>
  </si>
  <si>
    <t xml:space="preserve">Do you track the cost of each content step?</t>
  </si>
  <si>
    <t xml:space="preserve">https://incubrix.com/?utm_source=linkedin&amp;utm_medium=social&amp;utm_campaign=growth_engine_2026q4&amp;utm_content=T09</t>
  </si>
  <si>
    <t xml:space="preserve">main_output/assets/T09/T09.txt</t>
  </si>
  <si>
    <t xml:space="preserve">main_output/assets/T09/T09_source.json</t>
  </si>
  <si>
    <t xml:space="preserve">2026-11-16 13:00 UTC</t>
  </si>
  <si>
    <t xml:space="preserve">Facts: F3,F4</t>
  </si>
  <si>
    <t xml:space="preserve">G04</t>
  </si>
  <si>
    <t xml:space="preserve">Idea, draft, edit, format, schedule</t>
  </si>
  <si>
    <t xml:space="preserve">Idea, draft, edit, format, schedule
Five steps, always in the same order. A routine you can repeat beats a clever one you cannot.
Which step do you skip most?
Link in bio.
#ContentCreation #CreatorTips #Reels #Repurposing</t>
  </si>
  <si>
    <t xml:space="preserve">Which step do you skip most?</t>
  </si>
  <si>
    <t xml:space="preserve">https://incubrix.com/?utm_source=instagram&amp;utm_medium=social&amp;utm_campaign=growth_engine_2026q4&amp;utm_content=G04</t>
  </si>
  <si>
    <t xml:space="preserve">main_output/assets/G04/G04.png</t>
  </si>
  <si>
    <t xml:space="preserve">main_output/assets/G04/G04_source.json</t>
  </si>
  <si>
    <t xml:space="preserve">2026-11-17 17:00 UTC</t>
  </si>
  <si>
    <t xml:space="preserve">T10</t>
  </si>
  <si>
    <t xml:space="preserve">Turn one idea into three formats instead of three ideas.</t>
  </si>
  <si>
    <t xml:space="preserve">Turn one idea into three formats instead of three ideas.
I take one idea and write a LinkedIn post, a short carousel and a vertical video from it.
The first line changes each time. The point stays the same. That way each feed gets something made for it, and I only have to think once.
What is one idea you could reuse this week?
#ContentCreation #ShortFormVideo #CreatorTools</t>
  </si>
  <si>
    <t xml:space="preserve">What is one idea you could reuse this week?</t>
  </si>
  <si>
    <t xml:space="preserve">https://incubrix.com/?utm_source=linkedin&amp;utm_medium=social&amp;utm_campaign=growth_engine_2026q4&amp;utm_content=T10</t>
  </si>
  <si>
    <t xml:space="preserve">main_output/assets/T10/T10.txt</t>
  </si>
  <si>
    <t xml:space="preserve">main_output/assets/T10/T10_source.json</t>
  </si>
  <si>
    <t xml:space="preserve">2026-11-18 13:00 UTC</t>
  </si>
  <si>
    <t xml:space="preserve">G05</t>
  </si>
  <si>
    <t xml:space="preserve">Edit by instruction, not by hand</t>
  </si>
  <si>
    <t xml:space="preserve">Edit by instruction, not by hand
In my test, one chat message asked for under 150 words, no unsourced claims, and a question at the end. The rewrite followed all three.
What would you ask a rewrite to fix?
Link in bio.
#ContentCreation #CreatorTips #Reels #Repurposing</t>
  </si>
  <si>
    <t xml:space="preserve">What would you ask a rewrite to fix?</t>
  </si>
  <si>
    <t xml:space="preserve">https://incubrix.com/?utm_source=instagram&amp;utm_medium=social&amp;utm_campaign=growth_engine_2026q4&amp;utm_content=G05</t>
  </si>
  <si>
    <t xml:space="preserve">main_output/assets/G05/G05.png</t>
  </si>
  <si>
    <t xml:space="preserve">main_output/assets/G05/G05_source.json</t>
  </si>
  <si>
    <t xml:space="preserve">2026-11-19 17:00 UTC</t>
  </si>
  <si>
    <t xml:space="preserve">Facts: F2</t>
  </si>
  <si>
    <t xml:space="preserve">Engine and Launch Kit</t>
  </si>
  <si>
    <t xml:space="preserve">Show that another person can run your engine and that IncuBrix can launch from your kit.</t>
  </si>
  <si>
    <t xml:space="preserve">A. Engine proof</t>
  </si>
  <si>
    <t xml:space="preserve">Requirement</t>
  </si>
  <si>
    <t xml:space="preserve">Done?</t>
  </si>
  <si>
    <t xml:space="preserve">Evidence path / URL</t>
  </si>
  <si>
    <t xml:space="preserve">Notes</t>
  </si>
  <si>
    <t xml:space="preserve">One clear run command in the README</t>
  </si>
  <si>
    <t xml:space="preserve">engine/README.md</t>
  </si>
  <si>
    <t xml:space="preserve">python run.py run --input content/input_1.txt</t>
  </si>
  <si>
    <t xml:space="preserve">Works on a fresh machine or account</t>
  </si>
  <si>
    <t xml:space="preserve">Partial</t>
  </si>
  <si>
    <t xml:space="preserve">evidence/</t>
  </si>
  <si>
    <t xml:space="preserve">Run from clean temporary folders in tests; not yet tried on a second computer.</t>
  </si>
  <si>
    <t xml:space="preserve">Removes duplicates</t>
  </si>
  <si>
    <t xml:space="preserve">engine/tests/test_pipeline.py</t>
  </si>
  <si>
    <t xml:space="preserve">Shingle similarity &gt;= 0.80 rejects copies; test_dedupe_blocks_copy_from_other_input.</t>
  </si>
  <si>
    <t xml:space="preserve">Quality checks before export</t>
  </si>
  <si>
    <t xml:space="preserve">engine/incubrix_engine/checks.py; tests/test_checks.py</t>
  </si>
  <si>
    <t xml:space="preserve">Hook, length, hashtags, UTM, banned phrases, number grounding, fact IDs, rights.</t>
  </si>
  <si>
    <t xml:space="preserve">Clean export in the official format</t>
  </si>
  <si>
    <t xml:space="preserve">main_output/calendar.csv</t>
  </si>
  <si>
    <t xml:space="preserve">Same columns as 02_ASSETS; scheduler.csv for bulk upload.</t>
  </si>
  <si>
    <t xml:space="preserve">Refresh updates existing items without duplicates</t>
  </si>
  <si>
    <t xml:space="preserve">evidence/3_refresh_run.txt</t>
  </si>
  <si>
    <t xml:space="preserve">Edited input: 2 updated in place, 18 unchanged, 0 new, same IDs.</t>
  </si>
  <si>
    <t xml:space="preserve">Logs errors and recovers from a simple failure</t>
  </si>
  <si>
    <t xml:space="preserve">evidence/4a_failure_render.txt; 4b_recovery.txt; 4c_failure_llm.txt</t>
  </si>
  <si>
    <t xml:space="preserve">Render failure logged then recovered on re-run; LLM failure falls back to offline generator.</t>
  </si>
  <si>
    <t xml:space="preserve">Tests included</t>
  </si>
  <si>
    <t xml:space="preserve">engine/tests/</t>
  </si>
  <si>
    <t xml:space="preserve">17 tests pass (python -m unittest discover -s tests).</t>
  </si>
  <si>
    <t xml:space="preserve">No secrets in the repository</t>
  </si>
  <si>
    <t xml:space="preserve">engine/config.json</t>
  </si>
  <si>
    <t xml:space="preserve">API key is read from the GEMINI_API_KEY environment variable only; none in the repo.</t>
  </si>
  <si>
    <t xml:space="preserve">B. Run summary</t>
  </si>
  <si>
    <t xml:space="preserve">Run</t>
  </si>
  <si>
    <t xml:space="preserve">Input size</t>
  </si>
  <si>
    <t xml:space="preserve">Items produced</t>
  </si>
  <si>
    <t xml:space="preserve">Items rejected</t>
  </si>
  <si>
    <t xml:space="preserve">Duplicates removed</t>
  </si>
  <si>
    <t xml:space="preserve">Runtime (min)</t>
  </si>
  <si>
    <t xml:space="preserve">Direct cost</t>
  </si>
  <si>
    <t xml:space="preserve">Evidence / log</t>
  </si>
  <si>
    <t xml:space="preserve">Normal run</t>
  </si>
  <si>
    <t xml:space="preserve">1,304 chars (input_1.txt)</t>
  </si>
  <si>
    <t xml:space="preserve">$0.00 (offline mode, no API)</t>
  </si>
  <si>
    <t xml:space="preserve">evidence/1_normal_run.txt (20 assets, week profile)</t>
  </si>
  <si>
    <t xml:space="preserve">Repeat run (same input)</t>
  </si>
  <si>
    <t xml:space="preserve">1,304 chars (same file)</t>
  </si>
  <si>
    <t xml:space="preserve">0 new, 20 unchanged</t>
  </si>
  <si>
    <t xml:space="preserve">$0.00</t>
  </si>
  <si>
    <t xml:space="preserve">evidence/2_repeat_run.txt</t>
  </si>
  <si>
    <t xml:space="preserve">Refresh (new input)</t>
  </si>
  <si>
    <t xml:space="preserve">1,313 chars (one sentence edited)</t>
  </si>
  <si>
    <t xml:space="preserve">0 new, 2 updated, 18 unchanged</t>
  </si>
  <si>
    <t xml:space="preserve">Failure and recovery</t>
  </si>
  <si>
    <t xml:space="preserve">1,304 chars</t>
  </si>
  <si>
    <t xml:space="preserve">19 then 20 after re-run</t>
  </si>
  <si>
    <t xml:space="preserve">0.82 then 0.17</t>
  </si>
  <si>
    <t xml:space="preserve">evidence/4a_failure_render.txt, 4b_recovery.txt (1 simulated render failure, recovered). LLM-failure run: evidence/4c_failure_llm.txt</t>
  </si>
  <si>
    <t xml:space="preserve">C. Launch kit summary</t>
  </si>
  <si>
    <t xml:space="preserve">Who exactly we target first</t>
  </si>
  <si>
    <t xml:space="preserve">Creators (podcasters, YouTubers, expert-led creators) and the editors or small teams who help them, in the US, Canada, UK, Ireland, Australia, New Zealand and Singapore. First: small expert-led creator teams who reformat one video for several platforms.</t>
  </si>
  <si>
    <t xml:space="preserve">Channels / platforms and why</t>
  </si>
  <si>
    <t xml:space="preserve">LinkedIn (only account with traction, where small teams read), Instagram Reels (vertical video, existing 69 followers), YouTube Shorts (reaches creators, no region issue for publishing). TikTok excluded: unavailable in my region on 24 Oct 2026.</t>
  </si>
  <si>
    <t xml:space="preserve">Week 1 actions (owner, tool, volume)</t>
  </si>
  <si>
    <t xml:space="preserve">Owner: Growth Engineer. Mon: confirm account access and UTM sheet. Mon-Sun: publish the first 7 scheduled assets (C01, V02, C02, V01, C03, V04, C04) via scheduler.csv; reply to comments within 24 h; log metrics daily (about 20 min/day). Fri: run the engine on one new long input, review rejects.</t>
  </si>
  <si>
    <t xml:space="preserve">Weeks 2-4 actions</t>
  </si>
  <si>
    <t xml:space="preserve">Weeks 2-4: keep the posting plan (LinkedIn 3-4/week, Instagram 2-3, Shorts 1-2). Day 14 review: keep the top formats. Week 3: add a creator-collaboration format only with written consent. Week 4: report reach, engagement, clicks and sign-ups vs targets.</t>
  </si>
  <si>
    <t xml:space="preserve">Tools and monthly cost</t>
  </si>
  <si>
    <t xml:space="preserve">Python, Pillow, ffmpeg (free); Gemini free tier optional; native platform schedulers or any scheduler that accepts scheduler.csv; spreadsheet for metrics. Base cost: $0 per month. Optional paid boost: proposal of up to $150 in total on the two best organic LinkedIn posts after day 14 (not required).</t>
  </si>
  <si>
    <t xml:space="preserve">Targets after 30 days (numbers)</t>
  </si>
  <si>
    <t xml:space="preserve">TARGETS (hypotheses, no sourced benchmark): 14 LinkedIn, 11 Instagram, 5 Shorts published; 25,000 total impressions/views; engagement rate 3%; 150 tracked clicks; 8 sign-ups. Revisit at day 14.</t>
  </si>
  <si>
    <t xml:space="preserve">Biggest risk and how to handle it</t>
  </si>
  <si>
    <t xml:space="preserve">Product output is not publish-ready (black bars, no captions, quiet audio), so shipped videos are generated text videos, not raw product clips. Mitigation: verified-facts list limits claims; every asset has a pre-post check. Other risks: Gemini path untested live; slot times are untested.</t>
  </si>
  <si>
    <t xml:space="preserve">What IncuBrix must provide (accounts, access, budget)</t>
  </si>
  <si>
    <t xml:space="preserve">Owned accounts and posting access, analytics or sign-up source reporting (so utm_source and utm_content can be matched to sign-ups), approval of the verified product facts, source videos of 2+ minutes with consent, and a yes or no on the optional boost.</t>
  </si>
  <si>
    <t xml:space="preserve">Self-check and Self-score</t>
  </si>
  <si>
    <t xml:space="preserve">Enter your real values with evidence. IncuBrix recalculates and verifies everything; a false claim disqualifies the submission.</t>
  </si>
  <si>
    <t xml:space="preserve">A. Minimum results (all must be MET)</t>
  </si>
  <si>
    <t xml:space="preserve">Minimum</t>
  </si>
  <si>
    <t xml:space="preserve">Required</t>
  </si>
  <si>
    <t xml:space="preserve">Your value</t>
  </si>
  <si>
    <t xml:space="preserve">Workbook calculation</t>
  </si>
  <si>
    <t xml:space="preserve">Status</t>
  </si>
  <si>
    <t xml:space="preserve">Ready-to-publish assets</t>
  </si>
  <si>
    <t xml:space="preserve">&gt;= 30</t>
  </si>
  <si>
    <t xml:space="preserve">main_output/calendar.csv; evidence: engine/tests test_library_all_pass_and_counts</t>
  </si>
  <si>
    <t xml:space="preserve">Platforms covered</t>
  </si>
  <si>
    <t xml:space="preserve">&gt;= 3</t>
  </si>
  <si>
    <t xml:space="preserve">-</t>
  </si>
  <si>
    <t xml:space="preserve">LinkedIn, Instagram, YouTube Shorts (main_output/calendar.csv)</t>
  </si>
  <si>
    <t xml:space="preserve">Short videos (60 s or less)</t>
  </si>
  <si>
    <t xml:space="preserve">&gt;= 10</t>
  </si>
  <si>
    <t xml:space="preserve">main_output/assets/V01-V10 (each 23-35 s, 1080x1920)</t>
  </si>
  <si>
    <t xml:space="preserve">Carousels or graphics</t>
  </si>
  <si>
    <t xml:space="preserve">&gt;= 5</t>
  </si>
  <si>
    <t xml:space="preserve">5 carousels (C01-C05) + 5 graphics (G01-G05)</t>
  </si>
  <si>
    <t xml:space="preserve">Rights issues</t>
  </si>
  <si>
    <t xml:space="preserve">0</t>
  </si>
  <si>
    <t xml:space="preserve">All media generated by the engine from text (no third-party media); rights_checked = Yes on all rows</t>
  </si>
  <si>
    <t xml:space="preserve">Engine makes 10+ assets from one input in under 30 minutes</t>
  </si>
  <si>
    <t xml:space="preserve">evidence/1_normal_run.txt: 20 assets in 0.98 min, $0 (offline mode). Gemini mode not yet run live.</t>
  </si>
  <si>
    <t xml:space="preserve">Real-audience test completed (10 posts over 5 days, or 20-person test)</t>
  </si>
  <si>
    <t xml:space="preserve">NOT DONE YET. Plan and tooling: real_audience_test/. No responses collected, so this stays blank until the 20-person preference test is run.</t>
  </si>
  <si>
    <t xml:space="preserve">If 'Your value' and 'Workbook calculation' differ, explain why in the evidence column (for example: leads.csv has more rows than the workbook).</t>
  </si>
  <si>
    <t xml:space="preserve">B. Exceptional requirements (optional)</t>
  </si>
  <si>
    <t xml:space="preserve">Achieved?</t>
  </si>
  <si>
    <t xml:space="preserve">60 ready assets, including at least 20 videos, with at least 90% passing our audit.</t>
  </si>
  <si>
    <t xml:space="preserve">30 ready, 10 videos; 20-asset audit not run by me</t>
  </si>
  <si>
    <t xml:space="preserve">The real-audience test beats a stated, sourced benchmark for engagement or preference.</t>
  </si>
  <si>
    <t xml:space="preserve">Test not run yet</t>
  </si>
  <si>
    <t xml:space="preserve">The engine produces a full week (at least 20 assets) from one input in under 30 minutes, with cost documented.</t>
  </si>
  <si>
    <t xml:space="preserve">20 assets in 0.98 min, $0 (offline)</t>
  </si>
  <si>
    <t xml:space="preserve">evidence/1_normal_run.txt</t>
  </si>
  <si>
    <t xml:space="preserve">A creator-collaboration or user-generated content format that is ready to run.</t>
  </si>
  <si>
    <t xml:space="preserve">Not built</t>
  </si>
  <si>
    <t xml:space="preserve">C. Your self-score (be honest: reviewers compare it with their own score)</t>
  </si>
  <si>
    <t xml:space="preserve">Area</t>
  </si>
  <si>
    <t xml:space="preserve">Maximum</t>
  </si>
  <si>
    <t xml:space="preserve">Your score</t>
  </si>
  <si>
    <t xml:space="preserve">Why you deserve this score (with evidence)</t>
  </si>
  <si>
    <t xml:space="preserve">Product and market insight</t>
  </si>
  <si>
    <t xml:space="preserve">Observations come from my own tests with screenshots; 3 of 5 peers audited and per-post counts approximate.</t>
  </si>
  <si>
    <t xml:space="preserve">Content and strategy quality</t>
  </si>
  <si>
    <t xml:space="preserve">Assets are checked and rendered (about 11/15), strategy fits platforms (about 8/10), real-audience test not yet run (0/10).</t>
  </si>
  <si>
    <t xml:space="preserve">Automation and scale</t>
  </si>
  <si>
    <t xml:space="preserve">Repeatable run, dedupe, refresh, failure recovery and 17 tests; Gemini path untested live, offline mode is plain.</t>
  </si>
  <si>
    <t xml:space="preserve">Launch readiness</t>
  </si>
  <si>
    <t xml:space="preserve">Calendar, owners, tools, budget and targets exist; targets are hypotheses and analytics access is an open dependency.</t>
  </si>
  <si>
    <t xml:space="preserve">Live review</t>
  </si>
  <si>
    <t xml:space="preserve">Live review not taken yet.</t>
  </si>
  <si>
    <t xml:space="preserve">Self-score total (out of 100)</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</si>
</sst>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10"/>
      <color rgb="FF1F2933"/>
      <name val="Arial"/>
      <family val="0"/>
      <charset val="1"/>
    </font>
    <font>
      <b val="true"/>
      <sz val="11"/>
      <color rgb="FF1F2933"/>
      <name val="Arial"/>
      <family val="0"/>
      <charset val="1"/>
    </font>
    <font>
      <b val="true"/>
      <sz val="10"/>
      <color rgb="FF1F2933"/>
      <name val="Arial"/>
      <family val="0"/>
      <charset val="1"/>
    </font>
    <font>
      <sz val="10"/>
      <color rgb="FF1F2933"/>
      <name val="Arial"/>
      <family val="0"/>
      <charset val="1"/>
    </font>
  </fonts>
  <fills count="7">
    <fill>
      <patternFill patternType="none"/>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2">
    <border diagonalUp="false" diagonalDown="false">
      <left/>
      <right/>
      <top/>
      <bottom/>
      <diagonal/>
    </border>
    <border diagonalUp="false" diagonalDown="false">
      <left style="thin">
        <color rgb="FFBFC9D1"/>
      </left>
      <right style="thin">
        <color rgb="FFBFC9D1"/>
      </right>
      <top style="thin">
        <color rgb="FFBFC9D1"/>
      </top>
      <bottom style="thin">
        <color rgb="FFBFC9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5" fontId="8" fillId="6"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70"/>
    <col collapsed="false" customWidth="true" hidden="false" outlineLevel="0" max="3" min="3" style="1" width="4"/>
    <col collapsed="false" customWidth="true" hidden="false" outlineLevel="0" max="4" min="4" style="1" width="6"/>
    <col collapsed="false" customWidth="true" hidden="false" outlineLevel="0" max="5" min="5" style="1" width="44"/>
    <col collapsed="false" customWidth="true" hidden="false" outlineLevel="0" max="6" min="6" style="1" width="10"/>
  </cols>
  <sheetData>
    <row r="1" customFormat="false" ht="24" hidden="false" customHeight="true" outlineLevel="0" collapsed="false">
      <c r="A1" s="2" t="s">
        <v>0</v>
      </c>
      <c r="B1" s="2"/>
      <c r="C1" s="2"/>
      <c r="D1" s="2"/>
      <c r="E1" s="2"/>
      <c r="F1" s="2"/>
    </row>
    <row r="2" customFormat="false" ht="31.5" hidden="false" customHeight="true" outlineLevel="0" collapsed="false">
      <c r="A2" s="3" t="s">
        <v>1</v>
      </c>
      <c r="B2" s="3"/>
      <c r="C2" s="3"/>
      <c r="D2" s="3"/>
      <c r="E2" s="3"/>
      <c r="F2" s="3"/>
    </row>
    <row r="4" customFormat="false" ht="15" hidden="false" customHeight="true" outlineLevel="0" collapsed="false">
      <c r="A4" s="4" t="s">
        <v>2</v>
      </c>
      <c r="B4" s="4"/>
      <c r="D4" s="5" t="s">
        <v>3</v>
      </c>
      <c r="E4" s="5"/>
      <c r="F4" s="5"/>
    </row>
    <row r="5" customFormat="false" ht="15" hidden="false" customHeight="true" outlineLevel="0" collapsed="false">
      <c r="A5" s="6" t="s">
        <v>4</v>
      </c>
      <c r="B5" s="7"/>
      <c r="D5" s="8" t="n">
        <v>1</v>
      </c>
      <c r="E5" s="8" t="s">
        <v>5</v>
      </c>
      <c r="F5" s="7"/>
    </row>
    <row r="6" customFormat="false" ht="15" hidden="false" customHeight="true" outlineLevel="0" collapsed="false">
      <c r="A6" s="6" t="s">
        <v>6</v>
      </c>
      <c r="B6" s="7"/>
      <c r="D6" s="8" t="n">
        <v>2</v>
      </c>
      <c r="E6" s="8" t="s">
        <v>7</v>
      </c>
      <c r="F6" s="7"/>
    </row>
    <row r="7" customFormat="false" ht="15" hidden="false" customHeight="true" outlineLevel="0" collapsed="false">
      <c r="A7" s="6" t="s">
        <v>8</v>
      </c>
      <c r="B7" s="7"/>
      <c r="D7" s="8" t="n">
        <v>3</v>
      </c>
      <c r="E7" s="8" t="s">
        <v>9</v>
      </c>
      <c r="F7" s="7"/>
    </row>
    <row r="8" customFormat="false" ht="15" hidden="false" customHeight="true" outlineLevel="0" collapsed="false">
      <c r="A8" s="6" t="s">
        <v>10</v>
      </c>
      <c r="B8" s="7"/>
      <c r="D8" s="8" t="n">
        <v>4</v>
      </c>
      <c r="E8" s="8" t="s">
        <v>11</v>
      </c>
      <c r="F8" s="7"/>
    </row>
    <row r="9" customFormat="false" ht="15" hidden="false" customHeight="true" outlineLevel="0" collapsed="false">
      <c r="A9" s="6" t="s">
        <v>12</v>
      </c>
      <c r="B9" s="7"/>
      <c r="D9" s="8" t="n">
        <v>5</v>
      </c>
      <c r="E9" s="8" t="s">
        <v>13</v>
      </c>
      <c r="F9" s="7"/>
    </row>
    <row r="10" customFormat="false" ht="15" hidden="false" customHeight="true" outlineLevel="0" collapsed="false">
      <c r="A10" s="6" t="s">
        <v>14</v>
      </c>
      <c r="B10" s="7"/>
      <c r="D10" s="8" t="n">
        <v>6</v>
      </c>
      <c r="E10" s="8" t="s">
        <v>15</v>
      </c>
      <c r="F10" s="7"/>
    </row>
    <row r="11" customFormat="false" ht="15" hidden="false" customHeight="true" outlineLevel="0" collapsed="false">
      <c r="A11" s="6" t="s">
        <v>16</v>
      </c>
      <c r="B11" s="7" t="s">
        <v>17</v>
      </c>
    </row>
    <row r="12" customFormat="false" ht="15" hidden="false" customHeight="true" outlineLevel="0" collapsed="false">
      <c r="A12" s="6" t="s">
        <v>18</v>
      </c>
      <c r="B12" s="7" t="s">
        <v>19</v>
      </c>
    </row>
    <row r="13" customFormat="false" ht="15" hidden="false" customHeight="true" outlineLevel="0" collapsed="false">
      <c r="A13" s="6" t="s">
        <v>20</v>
      </c>
      <c r="B13" s="7" t="s">
        <v>21</v>
      </c>
    </row>
    <row r="14" customFormat="false" ht="23.25" hidden="false" customHeight="true" outlineLevel="0" collapsed="false">
      <c r="A14" s="6" t="s">
        <v>22</v>
      </c>
      <c r="B14" s="7" t="s">
        <v>23</v>
      </c>
    </row>
    <row r="15" customFormat="false" ht="23.25" hidden="false" customHeight="true" outlineLevel="0" collapsed="false">
      <c r="A15" s="6" t="s">
        <v>24</v>
      </c>
      <c r="B15" s="7" t="s">
        <v>23</v>
      </c>
    </row>
    <row r="16" customFormat="false" ht="23.25" hidden="false" customHeight="true" outlineLevel="0" collapsed="false">
      <c r="A16" s="6" t="s">
        <v>25</v>
      </c>
      <c r="B16" s="7" t="s">
        <v>26</v>
      </c>
    </row>
    <row r="17" customFormat="false" ht="15" hidden="false" customHeight="true" outlineLevel="0" collapsed="false">
      <c r="A17" s="6" t="s">
        <v>27</v>
      </c>
      <c r="B17" s="7" t="s">
        <v>28</v>
      </c>
    </row>
    <row r="18" customFormat="false" ht="23.25" hidden="false" customHeight="true" outlineLevel="0" collapsed="false">
      <c r="A18" s="6" t="s">
        <v>29</v>
      </c>
      <c r="B18" s="7" t="s">
        <v>30</v>
      </c>
    </row>
    <row r="20" customFormat="false" ht="42" hidden="false" customHeight="true" outlineLevel="0" collapsed="false">
      <c r="A20" s="6" t="s">
        <v>31</v>
      </c>
      <c r="B20" s="9" t="s">
        <v>32</v>
      </c>
    </row>
    <row r="21" customFormat="false" ht="15" hidden="false" customHeight="true" outlineLevel="0" collapsed="false">
      <c r="A21" s="6" t="s">
        <v>33</v>
      </c>
      <c r="B21" s="7"/>
    </row>
    <row r="23" customFormat="false" ht="15" hidden="false" customHeight="true" outlineLevel="0" collapsed="false">
      <c r="A23" s="4" t="s">
        <v>34</v>
      </c>
      <c r="B23" s="4"/>
    </row>
    <row r="24" customFormat="false" ht="15" hidden="false" customHeight="true" outlineLevel="0" collapsed="false">
      <c r="A24" s="6" t="s">
        <v>35</v>
      </c>
      <c r="B24" s="10" t="str">
        <f aca="false">COUNTIF(04_SELF_CHECK!F6:F12,"MET")&amp;" of 7"</f>
        <v>6 of 7</v>
      </c>
    </row>
    <row r="25" customFormat="false" ht="15" hidden="false" customHeight="true" outlineLevel="0" collapsed="false">
      <c r="A25" s="6" t="s">
        <v>36</v>
      </c>
      <c r="B25" s="10" t="n">
        <f aca="false">04_SELF_CHECK!C29</f>
        <v>47</v>
      </c>
    </row>
    <row r="26" customFormat="false" ht="15" hidden="false" customHeight="true" outlineLevel="0" collapsed="false">
      <c r="A26" s="6" t="s">
        <v>37</v>
      </c>
      <c r="B26" s="10" t="str">
        <f aca="false">IF(B21="Yes","Yes","NOT YET")</f>
        <v>NOT YET</v>
      </c>
    </row>
    <row r="27" customFormat="false" ht="15" hidden="false" customHeight="true" outlineLevel="0" collapsed="false">
      <c r="A27" s="6" t="s">
        <v>38</v>
      </c>
      <c r="B27" s="10" t="str">
        <f aca="false">IF(AND(COUNTIF(04_SELF_CHECK!F6:F12,"MET")=7,B21="Yes",COUNTIF(F5:F10,"Yes")=6),"YES","NOT YET - check tabs 00 and 04")</f>
        <v>NOT YET - check tabs 00 and 04</v>
      </c>
    </row>
  </sheetData>
  <mergeCells count="5">
    <mergeCell ref="A1:F1"/>
    <mergeCell ref="A2:F2"/>
    <mergeCell ref="A4:B4"/>
    <mergeCell ref="D4:F4"/>
    <mergeCell ref="A23:B23"/>
  </mergeCells>
  <dataValidations count="2">
    <dataValidation allowBlank="true" errorStyle="stop" operator="between" showDropDown="false" showErrorMessage="false" showInputMessage="false" sqref="F5:F10" type="list">
      <formula1>"Yes,No"</formula1>
      <formula2>0</formula2>
    </dataValidation>
    <dataValidation allowBlank="true" errorStyle="stop" operator="between" showDropDown="false" showErrorMessage="false" showInputMessage="false" sqref="B2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4" min="3" style="1" width="36"/>
    <col collapsed="false" customWidth="true" hidden="false" outlineLevel="0" max="6" min="5" style="1" width="30"/>
  </cols>
  <sheetData>
    <row r="1" customFormat="false" ht="24" hidden="false" customHeight="true" outlineLevel="0" collapsed="false">
      <c r="A1" s="2" t="s">
        <v>39</v>
      </c>
      <c r="B1" s="2"/>
      <c r="C1" s="2"/>
      <c r="D1" s="2"/>
      <c r="E1" s="2"/>
      <c r="F1" s="2"/>
    </row>
    <row r="2" customFormat="false" ht="31.5" hidden="false" customHeight="true" outlineLevel="0" collapsed="false">
      <c r="A2" s="3" t="s">
        <v>40</v>
      </c>
      <c r="B2" s="3"/>
      <c r="C2" s="3"/>
      <c r="D2" s="3"/>
      <c r="E2" s="3"/>
      <c r="F2" s="3"/>
    </row>
    <row r="4" customFormat="false" ht="15" hidden="false" customHeight="true" outlineLevel="0" collapsed="false">
      <c r="A4" s="4" t="s">
        <v>41</v>
      </c>
      <c r="B4" s="4"/>
      <c r="C4" s="4"/>
      <c r="D4" s="4"/>
      <c r="E4" s="4"/>
      <c r="F4" s="4"/>
    </row>
    <row r="5" customFormat="false" ht="30" hidden="false" customHeight="true" outlineLevel="0" collapsed="false">
      <c r="A5" s="5" t="s">
        <v>42</v>
      </c>
      <c r="B5" s="5" t="s">
        <v>43</v>
      </c>
      <c r="C5" s="5" t="s">
        <v>44</v>
      </c>
      <c r="D5" s="5" t="s">
        <v>45</v>
      </c>
      <c r="E5" s="5" t="s">
        <v>46</v>
      </c>
      <c r="F5" s="5" t="s">
        <v>47</v>
      </c>
    </row>
    <row r="6" customFormat="false" ht="15" hidden="false" customHeight="true" outlineLevel="0" collapsed="false">
      <c r="A6" s="8" t="n">
        <v>1</v>
      </c>
      <c r="B6" s="7" t="s">
        <v>48</v>
      </c>
      <c r="C6" s="7" t="s">
        <v>49</v>
      </c>
      <c r="D6" s="7" t="s">
        <v>50</v>
      </c>
      <c r="E6" s="7" t="s">
        <v>51</v>
      </c>
      <c r="F6" s="7" t="s">
        <v>52</v>
      </c>
    </row>
    <row r="7" customFormat="false" ht="15" hidden="false" customHeight="true" outlineLevel="0" collapsed="false">
      <c r="A7" s="8" t="n">
        <v>2</v>
      </c>
      <c r="B7" s="7" t="s">
        <v>53</v>
      </c>
      <c r="C7" s="7" t="s">
        <v>54</v>
      </c>
      <c r="D7" s="7" t="s">
        <v>55</v>
      </c>
      <c r="E7" s="7" t="s">
        <v>56</v>
      </c>
      <c r="F7" s="7" t="s">
        <v>57</v>
      </c>
    </row>
    <row r="8" customFormat="false" ht="15" hidden="false" customHeight="true" outlineLevel="0" collapsed="false">
      <c r="A8" s="8" t="n">
        <v>3</v>
      </c>
      <c r="B8" s="7" t="s">
        <v>58</v>
      </c>
      <c r="C8" s="7" t="s">
        <v>59</v>
      </c>
      <c r="D8" s="7" t="s">
        <v>60</v>
      </c>
      <c r="E8" s="7" t="s">
        <v>61</v>
      </c>
      <c r="F8" s="7" t="s">
        <v>62</v>
      </c>
    </row>
    <row r="9" customFormat="false" ht="15" hidden="false" customHeight="true" outlineLevel="0" collapsed="false">
      <c r="A9" s="8" t="n">
        <v>4</v>
      </c>
      <c r="B9" s="7" t="s">
        <v>63</v>
      </c>
      <c r="C9" s="7" t="s">
        <v>64</v>
      </c>
      <c r="D9" s="7" t="s">
        <v>65</v>
      </c>
      <c r="E9" s="7" t="s">
        <v>66</v>
      </c>
      <c r="F9" s="7" t="s">
        <v>67</v>
      </c>
    </row>
    <row r="10" customFormat="false" ht="15" hidden="false" customHeight="true" outlineLevel="0" collapsed="false">
      <c r="A10" s="8" t="n">
        <v>5</v>
      </c>
      <c r="B10" s="7" t="s">
        <v>68</v>
      </c>
      <c r="C10" s="7" t="s">
        <v>69</v>
      </c>
      <c r="D10" s="7" t="s">
        <v>70</v>
      </c>
      <c r="E10" s="7" t="s">
        <v>71</v>
      </c>
      <c r="F10" s="7" t="s">
        <v>72</v>
      </c>
    </row>
    <row r="12" customFormat="false" ht="15" hidden="false" customHeight="true" outlineLevel="0" collapsed="false">
      <c r="A12" s="4" t="s">
        <v>73</v>
      </c>
      <c r="B12" s="4"/>
      <c r="C12" s="4"/>
      <c r="D12" s="4"/>
      <c r="E12" s="4"/>
      <c r="F12" s="4"/>
    </row>
    <row r="13" customFormat="false" ht="30" hidden="false" customHeight="true" outlineLevel="0" collapsed="false">
      <c r="A13" s="5" t="s">
        <v>74</v>
      </c>
      <c r="B13" s="5" t="s">
        <v>75</v>
      </c>
      <c r="C13" s="5" t="s">
        <v>76</v>
      </c>
      <c r="D13" s="5" t="s">
        <v>77</v>
      </c>
      <c r="E13" s="5" t="s">
        <v>78</v>
      </c>
      <c r="F13" s="5" t="s">
        <v>79</v>
      </c>
    </row>
    <row r="14" customFormat="false" ht="15" hidden="false" customHeight="true" outlineLevel="0" collapsed="false">
      <c r="A14" s="8" t="n">
        <v>1</v>
      </c>
      <c r="B14" s="7" t="s">
        <v>80</v>
      </c>
      <c r="C14" s="7" t="s">
        <v>81</v>
      </c>
      <c r="D14" s="7" t="s">
        <v>82</v>
      </c>
      <c r="E14" s="7" t="s">
        <v>83</v>
      </c>
      <c r="F14" s="7" t="s">
        <v>84</v>
      </c>
    </row>
    <row r="15" customFormat="false" ht="15" hidden="false" customHeight="true" outlineLevel="0" collapsed="false">
      <c r="A15" s="8" t="n">
        <v>2</v>
      </c>
      <c r="B15" s="7" t="s">
        <v>85</v>
      </c>
      <c r="C15" s="7" t="s">
        <v>86</v>
      </c>
      <c r="D15" s="7" t="s">
        <v>87</v>
      </c>
      <c r="E15" s="7" t="s">
        <v>88</v>
      </c>
      <c r="F15" s="7" t="s">
        <v>89</v>
      </c>
    </row>
    <row r="16" customFormat="false" ht="15" hidden="false" customHeight="true" outlineLevel="0" collapsed="false">
      <c r="A16" s="8" t="n">
        <v>3</v>
      </c>
      <c r="B16" s="7" t="s">
        <v>90</v>
      </c>
      <c r="C16" s="7" t="s">
        <v>91</v>
      </c>
      <c r="D16" s="7" t="s">
        <v>92</v>
      </c>
      <c r="E16" s="7" t="s">
        <v>93</v>
      </c>
      <c r="F16" s="7" t="s">
        <v>94</v>
      </c>
    </row>
  </sheetData>
  <mergeCells count="4">
    <mergeCell ref="A1:F1"/>
    <mergeCell ref="A2:F2"/>
    <mergeCell ref="A4:F4"/>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14"/>
    <col collapsed="false" customWidth="true" hidden="false" outlineLevel="0" max="4" min="4" style="1" width="18"/>
    <col collapsed="false" customWidth="true" hidden="false" outlineLevel="0" max="5" min="5" style="1" width="34"/>
    <col collapsed="false" customWidth="true" hidden="false" outlineLevel="0" max="6" min="6" style="1" width="40"/>
    <col collapsed="false" customWidth="true" hidden="false" outlineLevel="0" max="7" min="7" style="1" width="20"/>
    <col collapsed="false" customWidth="true" hidden="false" outlineLevel="0" max="10" min="8" style="1" width="30"/>
    <col collapsed="false" customWidth="true" hidden="false" outlineLevel="0" max="12" min="11" style="1" width="22"/>
    <col collapsed="false" customWidth="true" hidden="false" outlineLevel="0" max="14" min="13" style="1" width="11"/>
    <col collapsed="false" customWidth="true" hidden="false" outlineLevel="0" max="15" min="15" style="1" width="13"/>
    <col collapsed="false" customWidth="true" hidden="false" outlineLevel="0" max="16" min="16" style="1" width="30"/>
    <col collapsed="false" customWidth="true" hidden="false" outlineLevel="0" max="17" min="17" style="1" width="13"/>
    <col collapsed="false" customWidth="true" hidden="false" outlineLevel="0" max="18" min="18" style="1" width="12"/>
    <col collapsed="false" customWidth="true" hidden="false" outlineLevel="0" max="19" min="19" style="1" width="10"/>
    <col collapsed="false" customWidth="true" hidden="false" outlineLevel="0" max="20" min="20" style="1" width="11"/>
    <col collapsed="false" customWidth="true" hidden="false" outlineLevel="0" max="21" min="21" style="1" width="24"/>
    <col collapsed="false" customWidth="true" hidden="false" outlineLevel="0" max="22" min="22" style="1" width="12"/>
    <col collapsed="false" customWidth="true" hidden="false" outlineLevel="0" max="23" min="23" style="1" width="14"/>
  </cols>
  <sheetData>
    <row r="1" customFormat="false" ht="24" hidden="false" customHeight="true" outlineLevel="0" collapsed="false">
      <c r="A1" s="2" t="s">
        <v>95</v>
      </c>
      <c r="B1" s="2"/>
      <c r="C1" s="2"/>
      <c r="D1" s="2"/>
      <c r="E1" s="2"/>
      <c r="F1" s="2"/>
      <c r="G1" s="2"/>
      <c r="H1" s="2"/>
      <c r="I1" s="2"/>
      <c r="J1" s="2"/>
      <c r="K1" s="2"/>
      <c r="L1" s="2"/>
      <c r="M1" s="2"/>
      <c r="N1" s="2"/>
      <c r="O1" s="2"/>
      <c r="P1" s="2"/>
      <c r="Q1" s="2"/>
      <c r="R1" s="2"/>
      <c r="S1" s="2"/>
      <c r="T1" s="2"/>
      <c r="U1" s="2"/>
      <c r="V1" s="2"/>
      <c r="W1" s="2"/>
    </row>
    <row r="2" customFormat="false" ht="31.5" hidden="false" customHeight="true" outlineLevel="0" collapsed="false">
      <c r="A2" s="3" t="s">
        <v>96</v>
      </c>
      <c r="B2" s="3"/>
      <c r="C2" s="3"/>
      <c r="D2" s="3"/>
      <c r="E2" s="3"/>
      <c r="F2" s="3"/>
      <c r="G2" s="3"/>
      <c r="H2" s="3"/>
      <c r="I2" s="3"/>
      <c r="J2" s="3"/>
      <c r="K2" s="3"/>
      <c r="L2" s="3"/>
      <c r="M2" s="3"/>
      <c r="N2" s="3"/>
      <c r="O2" s="3"/>
      <c r="P2" s="3"/>
      <c r="Q2" s="3"/>
      <c r="R2" s="3"/>
      <c r="S2" s="3"/>
      <c r="T2" s="3"/>
      <c r="U2" s="3"/>
      <c r="V2" s="3"/>
      <c r="W2" s="3"/>
    </row>
    <row r="4" customFormat="false" ht="30" hidden="false" customHeight="true" outlineLevel="0" collapsed="false">
      <c r="A4" s="5" t="s">
        <v>97</v>
      </c>
      <c r="B4" s="5" t="s">
        <v>98</v>
      </c>
      <c r="C4" s="5" t="s">
        <v>99</v>
      </c>
      <c r="D4" s="5" t="s">
        <v>100</v>
      </c>
      <c r="E4" s="5" t="s">
        <v>101</v>
      </c>
      <c r="F4" s="5" t="s">
        <v>102</v>
      </c>
      <c r="G4" s="5" t="s">
        <v>103</v>
      </c>
      <c r="H4" s="5" t="s">
        <v>104</v>
      </c>
      <c r="I4" s="5" t="s">
        <v>105</v>
      </c>
      <c r="J4" s="5" t="s">
        <v>106</v>
      </c>
      <c r="K4" s="5" t="s">
        <v>107</v>
      </c>
      <c r="L4" s="5" t="s">
        <v>108</v>
      </c>
      <c r="M4" s="5" t="s">
        <v>109</v>
      </c>
      <c r="N4" s="5" t="s">
        <v>110</v>
      </c>
      <c r="O4" s="5" t="s">
        <v>111</v>
      </c>
      <c r="P4" s="5" t="s">
        <v>112</v>
      </c>
      <c r="Q4" s="5" t="s">
        <v>113</v>
      </c>
      <c r="R4" s="5" t="s">
        <v>114</v>
      </c>
      <c r="S4" s="5" t="s">
        <v>115</v>
      </c>
      <c r="T4" s="5" t="s">
        <v>116</v>
      </c>
      <c r="U4" s="5" t="s">
        <v>117</v>
      </c>
      <c r="V4" s="5" t="s">
        <v>118</v>
      </c>
      <c r="W4" s="5" t="s">
        <v>119</v>
      </c>
    </row>
    <row r="5" customFormat="false" ht="15" hidden="false" customHeight="true" outlineLevel="0" collapsed="false">
      <c r="A5" s="11" t="s">
        <v>120</v>
      </c>
      <c r="B5" s="11" t="s">
        <v>121</v>
      </c>
      <c r="C5" s="11" t="s">
        <v>122</v>
      </c>
      <c r="D5" s="11" t="s">
        <v>123</v>
      </c>
      <c r="E5" s="7" t="s">
        <v>124</v>
      </c>
      <c r="F5" s="7" t="s">
        <v>125</v>
      </c>
      <c r="G5" s="11" t="s">
        <v>126</v>
      </c>
      <c r="H5" s="11" t="s">
        <v>127</v>
      </c>
      <c r="I5" s="11" t="s">
        <v>128</v>
      </c>
      <c r="J5" s="11" t="s">
        <v>129</v>
      </c>
      <c r="K5" s="11" t="s">
        <v>130</v>
      </c>
      <c r="L5" s="11" t="s">
        <v>131</v>
      </c>
      <c r="M5" s="11" t="s">
        <v>132</v>
      </c>
      <c r="N5" s="11" t="s">
        <v>133</v>
      </c>
      <c r="O5" s="11" t="s">
        <v>134</v>
      </c>
      <c r="P5" s="11"/>
      <c r="Q5" s="11"/>
      <c r="R5" s="11"/>
      <c r="S5" s="11"/>
      <c r="T5" s="11" t="s">
        <v>135</v>
      </c>
      <c r="U5" s="11" t="s">
        <v>136</v>
      </c>
      <c r="V5" s="12" t="str">
        <f aca="false">IF(A5="","",IF(COUNTIF($A$5:$A$154,A5)&gt;1,"DUPLICATE","UNIQUE"))</f>
        <v>UNIQUE</v>
      </c>
      <c r="W5" s="12" t="str">
        <f aca="false">IF(A5="","",IF(T5="Rejected","REJECTED",IF(AND(B5&lt;&gt;"",C5&lt;&gt;"",D5&lt;&gt;"",E5&lt;&gt;"",F5&lt;&gt;"",G5&lt;&gt;"",H5&lt;&gt;"",I5&lt;&gt;"",J5&lt;&gt;"",M5&lt;&gt;"",O5&lt;&gt;"",T5&lt;&gt;""),"COMPLETE","MISSING FIELDS")))</f>
        <v>COMPLETE</v>
      </c>
    </row>
    <row r="6" customFormat="false" ht="15" hidden="false" customHeight="true" outlineLevel="0" collapsed="false">
      <c r="A6" s="11" t="s">
        <v>137</v>
      </c>
      <c r="B6" s="11" t="s">
        <v>138</v>
      </c>
      <c r="C6" s="11" t="s">
        <v>139</v>
      </c>
      <c r="D6" s="11" t="s">
        <v>140</v>
      </c>
      <c r="E6" s="7" t="s">
        <v>141</v>
      </c>
      <c r="F6" s="7" t="s">
        <v>142</v>
      </c>
      <c r="G6" s="11" t="s">
        <v>143</v>
      </c>
      <c r="H6" s="11" t="s">
        <v>144</v>
      </c>
      <c r="I6" s="11" t="s">
        <v>145</v>
      </c>
      <c r="J6" s="11" t="s">
        <v>146</v>
      </c>
      <c r="K6" s="11" t="s">
        <v>130</v>
      </c>
      <c r="L6" s="11" t="s">
        <v>131</v>
      </c>
      <c r="M6" s="11" t="s">
        <v>132</v>
      </c>
      <c r="N6" s="11" t="s">
        <v>133</v>
      </c>
      <c r="O6" s="11" t="s">
        <v>147</v>
      </c>
      <c r="P6" s="11"/>
      <c r="Q6" s="11"/>
      <c r="R6" s="11"/>
      <c r="S6" s="11"/>
      <c r="T6" s="11" t="s">
        <v>135</v>
      </c>
      <c r="U6" s="11" t="s">
        <v>148</v>
      </c>
      <c r="V6" s="12" t="str">
        <f aca="false">IF(A6="","",IF(COUNTIF($A$5:$A$154,A6)&gt;1,"DUPLICATE","UNIQUE"))</f>
        <v>UNIQUE</v>
      </c>
      <c r="W6" s="12" t="str">
        <f aca="false">IF(A6="","",IF(T6="Rejected","REJECTED",IF(AND(B6&lt;&gt;"",C6&lt;&gt;"",D6&lt;&gt;"",E6&lt;&gt;"",F6&lt;&gt;"",G6&lt;&gt;"",H6&lt;&gt;"",I6&lt;&gt;"",J6&lt;&gt;"",M6&lt;&gt;"",O6&lt;&gt;"",T6&lt;&gt;""),"COMPLETE","MISSING FIELDS")))</f>
        <v>COMPLETE</v>
      </c>
    </row>
    <row r="7" customFormat="false" ht="15" hidden="false" customHeight="true" outlineLevel="0" collapsed="false">
      <c r="A7" s="11" t="s">
        <v>149</v>
      </c>
      <c r="B7" s="11" t="s">
        <v>121</v>
      </c>
      <c r="C7" s="11" t="s">
        <v>122</v>
      </c>
      <c r="D7" s="11" t="s">
        <v>150</v>
      </c>
      <c r="E7" s="7" t="s">
        <v>151</v>
      </c>
      <c r="F7" s="7" t="s">
        <v>152</v>
      </c>
      <c r="G7" s="11" t="s">
        <v>153</v>
      </c>
      <c r="H7" s="11" t="s">
        <v>154</v>
      </c>
      <c r="I7" s="11" t="s">
        <v>155</v>
      </c>
      <c r="J7" s="11" t="s">
        <v>156</v>
      </c>
      <c r="K7" s="11" t="s">
        <v>130</v>
      </c>
      <c r="L7" s="11" t="s">
        <v>131</v>
      </c>
      <c r="M7" s="11" t="s">
        <v>132</v>
      </c>
      <c r="N7" s="11" t="s">
        <v>133</v>
      </c>
      <c r="O7" s="11" t="s">
        <v>157</v>
      </c>
      <c r="P7" s="11"/>
      <c r="Q7" s="11"/>
      <c r="R7" s="11"/>
      <c r="S7" s="11"/>
      <c r="T7" s="11" t="s">
        <v>135</v>
      </c>
      <c r="U7" s="11" t="s">
        <v>136</v>
      </c>
      <c r="V7" s="12" t="str">
        <f aca="false">IF(A7="","",IF(COUNTIF($A$5:$A$154,A7)&gt;1,"DUPLICATE","UNIQUE"))</f>
        <v>UNIQUE</v>
      </c>
      <c r="W7" s="12" t="str">
        <f aca="false">IF(A7="","",IF(T7="Rejected","REJECTED",IF(AND(B7&lt;&gt;"",C7&lt;&gt;"",D7&lt;&gt;"",E7&lt;&gt;"",F7&lt;&gt;"",G7&lt;&gt;"",H7&lt;&gt;"",I7&lt;&gt;"",J7&lt;&gt;"",M7&lt;&gt;"",O7&lt;&gt;"",T7&lt;&gt;""),"COMPLETE","MISSING FIELDS")))</f>
        <v>COMPLETE</v>
      </c>
    </row>
    <row r="8" customFormat="false" ht="15" hidden="false" customHeight="true" outlineLevel="0" collapsed="false">
      <c r="A8" s="11" t="s">
        <v>158</v>
      </c>
      <c r="B8" s="11" t="s">
        <v>159</v>
      </c>
      <c r="C8" s="11" t="s">
        <v>139</v>
      </c>
      <c r="D8" s="11" t="s">
        <v>123</v>
      </c>
      <c r="E8" s="7" t="s">
        <v>160</v>
      </c>
      <c r="F8" s="7" t="s">
        <v>161</v>
      </c>
      <c r="G8" s="11" t="s">
        <v>162</v>
      </c>
      <c r="H8" s="11" t="s">
        <v>163</v>
      </c>
      <c r="I8" s="11" t="s">
        <v>164</v>
      </c>
      <c r="J8" s="11" t="s">
        <v>165</v>
      </c>
      <c r="K8" s="11" t="s">
        <v>130</v>
      </c>
      <c r="L8" s="11" t="s">
        <v>131</v>
      </c>
      <c r="M8" s="11" t="s">
        <v>132</v>
      </c>
      <c r="N8" s="11" t="s">
        <v>133</v>
      </c>
      <c r="O8" s="11" t="s">
        <v>166</v>
      </c>
      <c r="P8" s="11"/>
      <c r="Q8" s="11"/>
      <c r="R8" s="11"/>
      <c r="S8" s="11"/>
      <c r="T8" s="11" t="s">
        <v>135</v>
      </c>
      <c r="U8" s="11" t="s">
        <v>167</v>
      </c>
      <c r="V8" s="12" t="str">
        <f aca="false">IF(A8="","",IF(COUNTIF($A$5:$A$154,A8)&gt;1,"DUPLICATE","UNIQUE"))</f>
        <v>UNIQUE</v>
      </c>
      <c r="W8" s="12" t="str">
        <f aca="false">IF(A8="","",IF(T8="Rejected","REJECTED",IF(AND(B8&lt;&gt;"",C8&lt;&gt;"",D8&lt;&gt;"",E8&lt;&gt;"",F8&lt;&gt;"",G8&lt;&gt;"",H8&lt;&gt;"",I8&lt;&gt;"",J8&lt;&gt;"",M8&lt;&gt;"",O8&lt;&gt;"",T8&lt;&gt;""),"COMPLETE","MISSING FIELDS")))</f>
        <v>COMPLETE</v>
      </c>
    </row>
    <row r="9" customFormat="false" ht="15" hidden="false" customHeight="true" outlineLevel="0" collapsed="false">
      <c r="A9" s="11" t="s">
        <v>168</v>
      </c>
      <c r="B9" s="11" t="s">
        <v>121</v>
      </c>
      <c r="C9" s="11" t="s">
        <v>122</v>
      </c>
      <c r="D9" s="11" t="s">
        <v>169</v>
      </c>
      <c r="E9" s="7" t="s">
        <v>170</v>
      </c>
      <c r="F9" s="7" t="s">
        <v>171</v>
      </c>
      <c r="G9" s="11" t="s">
        <v>172</v>
      </c>
      <c r="H9" s="11" t="s">
        <v>173</v>
      </c>
      <c r="I9" s="11" t="s">
        <v>174</v>
      </c>
      <c r="J9" s="11" t="s">
        <v>175</v>
      </c>
      <c r="K9" s="11" t="s">
        <v>130</v>
      </c>
      <c r="L9" s="11" t="s">
        <v>131</v>
      </c>
      <c r="M9" s="11" t="s">
        <v>132</v>
      </c>
      <c r="N9" s="11" t="s">
        <v>133</v>
      </c>
      <c r="O9" s="11" t="s">
        <v>176</v>
      </c>
      <c r="P9" s="11"/>
      <c r="Q9" s="11"/>
      <c r="R9" s="11"/>
      <c r="S9" s="11"/>
      <c r="T9" s="11" t="s">
        <v>135</v>
      </c>
      <c r="U9" s="11" t="s">
        <v>136</v>
      </c>
      <c r="V9" s="12" t="str">
        <f aca="false">IF(A9="","",IF(COUNTIF($A$5:$A$154,A9)&gt;1,"DUPLICATE","UNIQUE"))</f>
        <v>UNIQUE</v>
      </c>
      <c r="W9" s="12" t="str">
        <f aca="false">IF(A9="","",IF(T9="Rejected","REJECTED",IF(AND(B9&lt;&gt;"",C9&lt;&gt;"",D9&lt;&gt;"",E9&lt;&gt;"",F9&lt;&gt;"",G9&lt;&gt;"",H9&lt;&gt;"",I9&lt;&gt;"",J9&lt;&gt;"",M9&lt;&gt;"",O9&lt;&gt;"",T9&lt;&gt;""),"COMPLETE","MISSING FIELDS")))</f>
        <v>COMPLETE</v>
      </c>
    </row>
    <row r="10" customFormat="false" ht="15" hidden="false" customHeight="true" outlineLevel="0" collapsed="false">
      <c r="A10" s="11" t="s">
        <v>177</v>
      </c>
      <c r="B10" s="11" t="s">
        <v>138</v>
      </c>
      <c r="C10" s="11" t="s">
        <v>139</v>
      </c>
      <c r="D10" s="11" t="s">
        <v>150</v>
      </c>
      <c r="E10" s="7" t="s">
        <v>178</v>
      </c>
      <c r="F10" s="7" t="s">
        <v>179</v>
      </c>
      <c r="G10" s="11" t="s">
        <v>180</v>
      </c>
      <c r="H10" s="11" t="s">
        <v>181</v>
      </c>
      <c r="I10" s="11" t="s">
        <v>182</v>
      </c>
      <c r="J10" s="11" t="s">
        <v>183</v>
      </c>
      <c r="K10" s="11" t="s">
        <v>130</v>
      </c>
      <c r="L10" s="11" t="s">
        <v>131</v>
      </c>
      <c r="M10" s="11" t="s">
        <v>132</v>
      </c>
      <c r="N10" s="11" t="s">
        <v>133</v>
      </c>
      <c r="O10" s="11" t="s">
        <v>184</v>
      </c>
      <c r="P10" s="11"/>
      <c r="Q10" s="11"/>
      <c r="R10" s="11"/>
      <c r="S10" s="11"/>
      <c r="T10" s="11" t="s">
        <v>135</v>
      </c>
      <c r="U10" s="11" t="s">
        <v>167</v>
      </c>
      <c r="V10" s="12" t="str">
        <f aca="false">IF(A10="","",IF(COUNTIF($A$5:$A$154,A10)&gt;1,"DUPLICATE","UNIQUE"))</f>
        <v>UNIQUE</v>
      </c>
      <c r="W10" s="12" t="str">
        <f aca="false">IF(A10="","",IF(T10="Rejected","REJECTED",IF(AND(B10&lt;&gt;"",C10&lt;&gt;"",D10&lt;&gt;"",E10&lt;&gt;"",F10&lt;&gt;"",G10&lt;&gt;"",H10&lt;&gt;"",I10&lt;&gt;"",J10&lt;&gt;"",M10&lt;&gt;"",O10&lt;&gt;"",T10&lt;&gt;""),"COMPLETE","MISSING FIELDS")))</f>
        <v>COMPLETE</v>
      </c>
    </row>
    <row r="11" customFormat="false" ht="15" hidden="false" customHeight="true" outlineLevel="0" collapsed="false">
      <c r="A11" s="11" t="s">
        <v>185</v>
      </c>
      <c r="B11" s="11" t="s">
        <v>121</v>
      </c>
      <c r="C11" s="11" t="s">
        <v>122</v>
      </c>
      <c r="D11" s="11" t="s">
        <v>140</v>
      </c>
      <c r="E11" s="7" t="s">
        <v>186</v>
      </c>
      <c r="F11" s="7" t="s">
        <v>187</v>
      </c>
      <c r="G11" s="11" t="s">
        <v>188</v>
      </c>
      <c r="H11" s="11" t="s">
        <v>189</v>
      </c>
      <c r="I11" s="11" t="s">
        <v>190</v>
      </c>
      <c r="J11" s="11" t="s">
        <v>191</v>
      </c>
      <c r="K11" s="11" t="s">
        <v>130</v>
      </c>
      <c r="L11" s="11" t="s">
        <v>131</v>
      </c>
      <c r="M11" s="11" t="s">
        <v>132</v>
      </c>
      <c r="N11" s="11" t="s">
        <v>133</v>
      </c>
      <c r="O11" s="11" t="s">
        <v>192</v>
      </c>
      <c r="P11" s="11"/>
      <c r="Q11" s="11"/>
      <c r="R11" s="11"/>
      <c r="S11" s="11"/>
      <c r="T11" s="11" t="s">
        <v>135</v>
      </c>
      <c r="U11" s="11" t="s">
        <v>193</v>
      </c>
      <c r="V11" s="12" t="str">
        <f aca="false">IF(A11="","",IF(COUNTIF($A$5:$A$154,A11)&gt;1,"DUPLICATE","UNIQUE"))</f>
        <v>UNIQUE</v>
      </c>
      <c r="W11" s="12" t="str">
        <f aca="false">IF(A11="","",IF(T11="Rejected","REJECTED",IF(AND(B11&lt;&gt;"",C11&lt;&gt;"",D11&lt;&gt;"",E11&lt;&gt;"",F11&lt;&gt;"",G11&lt;&gt;"",H11&lt;&gt;"",I11&lt;&gt;"",J11&lt;&gt;"",M11&lt;&gt;"",O11&lt;&gt;"",T11&lt;&gt;""),"COMPLETE","MISSING FIELDS")))</f>
        <v>COMPLETE</v>
      </c>
    </row>
    <row r="12" customFormat="false" ht="15" hidden="false" customHeight="true" outlineLevel="0" collapsed="false">
      <c r="A12" s="11" t="s">
        <v>194</v>
      </c>
      <c r="B12" s="11" t="s">
        <v>138</v>
      </c>
      <c r="C12" s="11" t="s">
        <v>139</v>
      </c>
      <c r="D12" s="11" t="s">
        <v>169</v>
      </c>
      <c r="E12" s="7" t="s">
        <v>195</v>
      </c>
      <c r="F12" s="7" t="s">
        <v>196</v>
      </c>
      <c r="G12" s="11" t="s">
        <v>197</v>
      </c>
      <c r="H12" s="11" t="s">
        <v>198</v>
      </c>
      <c r="I12" s="11" t="s">
        <v>199</v>
      </c>
      <c r="J12" s="11" t="s">
        <v>200</v>
      </c>
      <c r="K12" s="11" t="s">
        <v>130</v>
      </c>
      <c r="L12" s="11" t="s">
        <v>131</v>
      </c>
      <c r="M12" s="11" t="s">
        <v>132</v>
      </c>
      <c r="N12" s="11" t="s">
        <v>133</v>
      </c>
      <c r="O12" s="11" t="s">
        <v>201</v>
      </c>
      <c r="P12" s="11"/>
      <c r="Q12" s="11"/>
      <c r="R12" s="11"/>
      <c r="S12" s="11"/>
      <c r="T12" s="11" t="s">
        <v>135</v>
      </c>
      <c r="U12" s="11" t="s">
        <v>167</v>
      </c>
      <c r="V12" s="12" t="str">
        <f aca="false">IF(A12="","",IF(COUNTIF($A$5:$A$154,A12)&gt;1,"DUPLICATE","UNIQUE"))</f>
        <v>UNIQUE</v>
      </c>
      <c r="W12" s="12" t="str">
        <f aca="false">IF(A12="","",IF(T12="Rejected","REJECTED",IF(AND(B12&lt;&gt;"",C12&lt;&gt;"",D12&lt;&gt;"",E12&lt;&gt;"",F12&lt;&gt;"",G12&lt;&gt;"",H12&lt;&gt;"",I12&lt;&gt;"",J12&lt;&gt;"",M12&lt;&gt;"",O12&lt;&gt;"",T12&lt;&gt;""),"COMPLETE","MISSING FIELDS")))</f>
        <v>COMPLETE</v>
      </c>
    </row>
    <row r="13" customFormat="false" ht="15" hidden="false" customHeight="true" outlineLevel="0" collapsed="false">
      <c r="A13" s="11" t="s">
        <v>202</v>
      </c>
      <c r="B13" s="11" t="s">
        <v>159</v>
      </c>
      <c r="C13" s="11" t="s">
        <v>139</v>
      </c>
      <c r="D13" s="11" t="s">
        <v>140</v>
      </c>
      <c r="E13" s="7" t="s">
        <v>203</v>
      </c>
      <c r="F13" s="7" t="s">
        <v>204</v>
      </c>
      <c r="G13" s="11" t="s">
        <v>205</v>
      </c>
      <c r="H13" s="11" t="s">
        <v>206</v>
      </c>
      <c r="I13" s="11" t="s">
        <v>207</v>
      </c>
      <c r="J13" s="11" t="s">
        <v>208</v>
      </c>
      <c r="K13" s="11" t="s">
        <v>130</v>
      </c>
      <c r="L13" s="11" t="s">
        <v>131</v>
      </c>
      <c r="M13" s="11" t="s">
        <v>132</v>
      </c>
      <c r="N13" s="11" t="s">
        <v>133</v>
      </c>
      <c r="O13" s="11" t="s">
        <v>209</v>
      </c>
      <c r="P13" s="11"/>
      <c r="Q13" s="11"/>
      <c r="R13" s="11"/>
      <c r="S13" s="11"/>
      <c r="T13" s="11" t="s">
        <v>135</v>
      </c>
      <c r="U13" s="11" t="s">
        <v>210</v>
      </c>
      <c r="V13" s="12" t="str">
        <f aca="false">IF(A13="","",IF(COUNTIF($A$5:$A$154,A13)&gt;1,"DUPLICATE","UNIQUE"))</f>
        <v>UNIQUE</v>
      </c>
      <c r="W13" s="12" t="str">
        <f aca="false">IF(A13="","",IF(T13="Rejected","REJECTED",IF(AND(B13&lt;&gt;"",C13&lt;&gt;"",D13&lt;&gt;"",E13&lt;&gt;"",F13&lt;&gt;"",G13&lt;&gt;"",H13&lt;&gt;"",I13&lt;&gt;"",J13&lt;&gt;"",M13&lt;&gt;"",O13&lt;&gt;"",T13&lt;&gt;""),"COMPLETE","MISSING FIELDS")))</f>
        <v>COMPLETE</v>
      </c>
    </row>
    <row r="14" customFormat="false" ht="15" hidden="false" customHeight="true" outlineLevel="0" collapsed="false">
      <c r="A14" s="11" t="s">
        <v>211</v>
      </c>
      <c r="B14" s="11" t="s">
        <v>121</v>
      </c>
      <c r="C14" s="11" t="s">
        <v>212</v>
      </c>
      <c r="D14" s="11" t="s">
        <v>123</v>
      </c>
      <c r="E14" s="7" t="s">
        <v>213</v>
      </c>
      <c r="F14" s="7" t="s">
        <v>214</v>
      </c>
      <c r="G14" s="11" t="s">
        <v>215</v>
      </c>
      <c r="H14" s="11" t="s">
        <v>216</v>
      </c>
      <c r="I14" s="11" t="s">
        <v>217</v>
      </c>
      <c r="J14" s="11" t="s">
        <v>218</v>
      </c>
      <c r="K14" s="11" t="s">
        <v>130</v>
      </c>
      <c r="L14" s="11" t="s">
        <v>131</v>
      </c>
      <c r="M14" s="11" t="s">
        <v>132</v>
      </c>
      <c r="N14" s="11" t="s">
        <v>133</v>
      </c>
      <c r="O14" s="11" t="s">
        <v>219</v>
      </c>
      <c r="P14" s="11"/>
      <c r="Q14" s="11"/>
      <c r="R14" s="11"/>
      <c r="S14" s="11"/>
      <c r="T14" s="11" t="s">
        <v>135</v>
      </c>
      <c r="U14" s="11" t="s">
        <v>136</v>
      </c>
      <c r="V14" s="12" t="str">
        <f aca="false">IF(A14="","",IF(COUNTIF($A$5:$A$154,A14)&gt;1,"DUPLICATE","UNIQUE"))</f>
        <v>UNIQUE</v>
      </c>
      <c r="W14" s="12" t="str">
        <f aca="false">IF(A14="","",IF(T14="Rejected","REJECTED",IF(AND(B14&lt;&gt;"",C14&lt;&gt;"",D14&lt;&gt;"",E14&lt;&gt;"",F14&lt;&gt;"",G14&lt;&gt;"",H14&lt;&gt;"",I14&lt;&gt;"",J14&lt;&gt;"",M14&lt;&gt;"",O14&lt;&gt;"",T14&lt;&gt;""),"COMPLETE","MISSING FIELDS")))</f>
        <v>COMPLETE</v>
      </c>
    </row>
    <row r="15" customFormat="false" ht="15" hidden="false" customHeight="true" outlineLevel="0" collapsed="false">
      <c r="A15" s="11" t="s">
        <v>220</v>
      </c>
      <c r="B15" s="11" t="s">
        <v>138</v>
      </c>
      <c r="C15" s="11" t="s">
        <v>139</v>
      </c>
      <c r="D15" s="11" t="s">
        <v>221</v>
      </c>
      <c r="E15" s="7" t="s">
        <v>222</v>
      </c>
      <c r="F15" s="7" t="s">
        <v>223</v>
      </c>
      <c r="G15" s="11" t="s">
        <v>224</v>
      </c>
      <c r="H15" s="11" t="s">
        <v>225</v>
      </c>
      <c r="I15" s="11" t="s">
        <v>226</v>
      </c>
      <c r="J15" s="11" t="s">
        <v>227</v>
      </c>
      <c r="K15" s="11" t="s">
        <v>130</v>
      </c>
      <c r="L15" s="11" t="s">
        <v>131</v>
      </c>
      <c r="M15" s="11" t="s">
        <v>132</v>
      </c>
      <c r="N15" s="11" t="s">
        <v>133</v>
      </c>
      <c r="O15" s="11" t="s">
        <v>228</v>
      </c>
      <c r="P15" s="11"/>
      <c r="Q15" s="11"/>
      <c r="R15" s="11"/>
      <c r="S15" s="11"/>
      <c r="T15" s="11" t="s">
        <v>135</v>
      </c>
      <c r="U15" s="11" t="s">
        <v>229</v>
      </c>
      <c r="V15" s="12" t="str">
        <f aca="false">IF(A15="","",IF(COUNTIF($A$5:$A$154,A15)&gt;1,"DUPLICATE","UNIQUE"))</f>
        <v>UNIQUE</v>
      </c>
      <c r="W15" s="12" t="str">
        <f aca="false">IF(A15="","",IF(T15="Rejected","REJECTED",IF(AND(B15&lt;&gt;"",C15&lt;&gt;"",D15&lt;&gt;"",E15&lt;&gt;"",F15&lt;&gt;"",G15&lt;&gt;"",H15&lt;&gt;"",I15&lt;&gt;"",J15&lt;&gt;"",M15&lt;&gt;"",O15&lt;&gt;"",T15&lt;&gt;""),"COMPLETE","MISSING FIELDS")))</f>
        <v>COMPLETE</v>
      </c>
    </row>
    <row r="16" customFormat="false" ht="15" hidden="false" customHeight="true" outlineLevel="0" collapsed="false">
      <c r="A16" s="11" t="s">
        <v>230</v>
      </c>
      <c r="B16" s="11" t="s">
        <v>121</v>
      </c>
      <c r="C16" s="11" t="s">
        <v>212</v>
      </c>
      <c r="D16" s="11" t="s">
        <v>140</v>
      </c>
      <c r="E16" s="7" t="s">
        <v>231</v>
      </c>
      <c r="F16" s="7" t="s">
        <v>232</v>
      </c>
      <c r="G16" s="11" t="s">
        <v>233</v>
      </c>
      <c r="H16" s="11" t="s">
        <v>234</v>
      </c>
      <c r="I16" s="11" t="s">
        <v>235</v>
      </c>
      <c r="J16" s="11" t="s">
        <v>236</v>
      </c>
      <c r="K16" s="11" t="s">
        <v>130</v>
      </c>
      <c r="L16" s="11" t="s">
        <v>131</v>
      </c>
      <c r="M16" s="11" t="s">
        <v>132</v>
      </c>
      <c r="N16" s="11" t="s">
        <v>133</v>
      </c>
      <c r="O16" s="11" t="s">
        <v>237</v>
      </c>
      <c r="P16" s="11"/>
      <c r="Q16" s="11"/>
      <c r="R16" s="11"/>
      <c r="S16" s="11"/>
      <c r="T16" s="11" t="s">
        <v>135</v>
      </c>
      <c r="U16" s="11" t="s">
        <v>238</v>
      </c>
      <c r="V16" s="12" t="str">
        <f aca="false">IF(A16="","",IF(COUNTIF($A$5:$A$154,A16)&gt;1,"DUPLICATE","UNIQUE"))</f>
        <v>UNIQUE</v>
      </c>
      <c r="W16" s="12" t="str">
        <f aca="false">IF(A16="","",IF(T16="Rejected","REJECTED",IF(AND(B16&lt;&gt;"",C16&lt;&gt;"",D16&lt;&gt;"",E16&lt;&gt;"",F16&lt;&gt;"",G16&lt;&gt;"",H16&lt;&gt;"",I16&lt;&gt;"",J16&lt;&gt;"",M16&lt;&gt;"",O16&lt;&gt;"",T16&lt;&gt;""),"COMPLETE","MISSING FIELDS")))</f>
        <v>COMPLETE</v>
      </c>
    </row>
    <row r="17" customFormat="false" ht="15" hidden="false" customHeight="true" outlineLevel="0" collapsed="false">
      <c r="A17" s="11" t="s">
        <v>239</v>
      </c>
      <c r="B17" s="11" t="s">
        <v>159</v>
      </c>
      <c r="C17" s="11" t="s">
        <v>139</v>
      </c>
      <c r="D17" s="11" t="s">
        <v>150</v>
      </c>
      <c r="E17" s="7" t="s">
        <v>240</v>
      </c>
      <c r="F17" s="7" t="s">
        <v>241</v>
      </c>
      <c r="G17" s="11" t="s">
        <v>242</v>
      </c>
      <c r="H17" s="11" t="s">
        <v>243</v>
      </c>
      <c r="I17" s="11" t="s">
        <v>244</v>
      </c>
      <c r="J17" s="11" t="s">
        <v>245</v>
      </c>
      <c r="K17" s="11" t="s">
        <v>130</v>
      </c>
      <c r="L17" s="11" t="s">
        <v>131</v>
      </c>
      <c r="M17" s="11" t="s">
        <v>132</v>
      </c>
      <c r="N17" s="11" t="s">
        <v>133</v>
      </c>
      <c r="O17" s="11" t="s">
        <v>246</v>
      </c>
      <c r="P17" s="11"/>
      <c r="Q17" s="11"/>
      <c r="R17" s="11"/>
      <c r="S17" s="11"/>
      <c r="T17" s="11" t="s">
        <v>135</v>
      </c>
      <c r="U17" s="11" t="s">
        <v>167</v>
      </c>
      <c r="V17" s="12" t="str">
        <f aca="false">IF(A17="","",IF(COUNTIF($A$5:$A$154,A17)&gt;1,"DUPLICATE","UNIQUE"))</f>
        <v>UNIQUE</v>
      </c>
      <c r="W17" s="12" t="str">
        <f aca="false">IF(A17="","",IF(T17="Rejected","REJECTED",IF(AND(B17&lt;&gt;"",C17&lt;&gt;"",D17&lt;&gt;"",E17&lt;&gt;"",F17&lt;&gt;"",G17&lt;&gt;"",H17&lt;&gt;"",I17&lt;&gt;"",J17&lt;&gt;"",M17&lt;&gt;"",O17&lt;&gt;"",T17&lt;&gt;""),"COMPLETE","MISSING FIELDS")))</f>
        <v>COMPLETE</v>
      </c>
    </row>
    <row r="18" customFormat="false" ht="15" hidden="false" customHeight="true" outlineLevel="0" collapsed="false">
      <c r="A18" s="11" t="s">
        <v>247</v>
      </c>
      <c r="B18" s="11" t="s">
        <v>121</v>
      </c>
      <c r="C18" s="11" t="s">
        <v>212</v>
      </c>
      <c r="D18" s="11" t="s">
        <v>150</v>
      </c>
      <c r="E18" s="7" t="s">
        <v>248</v>
      </c>
      <c r="F18" s="7" t="s">
        <v>249</v>
      </c>
      <c r="G18" s="11" t="s">
        <v>250</v>
      </c>
      <c r="H18" s="11" t="s">
        <v>251</v>
      </c>
      <c r="I18" s="11" t="s">
        <v>252</v>
      </c>
      <c r="J18" s="11" t="s">
        <v>253</v>
      </c>
      <c r="K18" s="11" t="s">
        <v>130</v>
      </c>
      <c r="L18" s="11" t="s">
        <v>131</v>
      </c>
      <c r="M18" s="11" t="s">
        <v>132</v>
      </c>
      <c r="N18" s="11" t="s">
        <v>133</v>
      </c>
      <c r="O18" s="11" t="s">
        <v>254</v>
      </c>
      <c r="P18" s="11"/>
      <c r="Q18" s="11"/>
      <c r="R18" s="11"/>
      <c r="S18" s="11"/>
      <c r="T18" s="11" t="s">
        <v>135</v>
      </c>
      <c r="U18" s="11" t="s">
        <v>136</v>
      </c>
      <c r="V18" s="12" t="str">
        <f aca="false">IF(A18="","",IF(COUNTIF($A$5:$A$154,A18)&gt;1,"DUPLICATE","UNIQUE"))</f>
        <v>UNIQUE</v>
      </c>
      <c r="W18" s="12" t="str">
        <f aca="false">IF(A18="","",IF(T18="Rejected","REJECTED",IF(AND(B18&lt;&gt;"",C18&lt;&gt;"",D18&lt;&gt;"",E18&lt;&gt;"",F18&lt;&gt;"",G18&lt;&gt;"",H18&lt;&gt;"",I18&lt;&gt;"",J18&lt;&gt;"",M18&lt;&gt;"",O18&lt;&gt;"",T18&lt;&gt;""),"COMPLETE","MISSING FIELDS")))</f>
        <v>COMPLETE</v>
      </c>
    </row>
    <row r="19" customFormat="false" ht="15" hidden="false" customHeight="true" outlineLevel="0" collapsed="false">
      <c r="A19" s="11" t="s">
        <v>255</v>
      </c>
      <c r="B19" s="11" t="s">
        <v>138</v>
      </c>
      <c r="C19" s="11" t="s">
        <v>139</v>
      </c>
      <c r="D19" s="11" t="s">
        <v>169</v>
      </c>
      <c r="E19" s="7" t="s">
        <v>256</v>
      </c>
      <c r="F19" s="7" t="s">
        <v>257</v>
      </c>
      <c r="G19" s="11" t="s">
        <v>258</v>
      </c>
      <c r="H19" s="11" t="s">
        <v>259</v>
      </c>
      <c r="I19" s="11" t="s">
        <v>260</v>
      </c>
      <c r="J19" s="11" t="s">
        <v>261</v>
      </c>
      <c r="K19" s="11" t="s">
        <v>130</v>
      </c>
      <c r="L19" s="11" t="s">
        <v>131</v>
      </c>
      <c r="M19" s="11" t="s">
        <v>132</v>
      </c>
      <c r="N19" s="11" t="s">
        <v>133</v>
      </c>
      <c r="O19" s="11" t="s">
        <v>262</v>
      </c>
      <c r="P19" s="11"/>
      <c r="Q19" s="11"/>
      <c r="R19" s="11"/>
      <c r="S19" s="11"/>
      <c r="T19" s="11" t="s">
        <v>135</v>
      </c>
      <c r="U19" s="11" t="s">
        <v>167</v>
      </c>
      <c r="V19" s="12" t="str">
        <f aca="false">IF(A19="","",IF(COUNTIF($A$5:$A$154,A19)&gt;1,"DUPLICATE","UNIQUE"))</f>
        <v>UNIQUE</v>
      </c>
      <c r="W19" s="12" t="str">
        <f aca="false">IF(A19="","",IF(T19="Rejected","REJECTED",IF(AND(B19&lt;&gt;"",C19&lt;&gt;"",D19&lt;&gt;"",E19&lt;&gt;"",F19&lt;&gt;"",G19&lt;&gt;"",H19&lt;&gt;"",I19&lt;&gt;"",J19&lt;&gt;"",M19&lt;&gt;"",O19&lt;&gt;"",T19&lt;&gt;""),"COMPLETE","MISSING FIELDS")))</f>
        <v>COMPLETE</v>
      </c>
    </row>
    <row r="20" customFormat="false" ht="15" hidden="false" customHeight="true" outlineLevel="0" collapsed="false">
      <c r="A20" s="11" t="s">
        <v>263</v>
      </c>
      <c r="B20" s="11" t="s">
        <v>121</v>
      </c>
      <c r="C20" s="11" t="s">
        <v>212</v>
      </c>
      <c r="D20" s="11" t="s">
        <v>169</v>
      </c>
      <c r="E20" s="7" t="s">
        <v>264</v>
      </c>
      <c r="F20" s="7" t="s">
        <v>265</v>
      </c>
      <c r="G20" s="11" t="s">
        <v>266</v>
      </c>
      <c r="H20" s="11" t="s">
        <v>267</v>
      </c>
      <c r="I20" s="11" t="s">
        <v>268</v>
      </c>
      <c r="J20" s="11" t="s">
        <v>269</v>
      </c>
      <c r="K20" s="11" t="s">
        <v>130</v>
      </c>
      <c r="L20" s="11" t="s">
        <v>131</v>
      </c>
      <c r="M20" s="11" t="s">
        <v>132</v>
      </c>
      <c r="N20" s="11" t="s">
        <v>133</v>
      </c>
      <c r="O20" s="11" t="s">
        <v>270</v>
      </c>
      <c r="P20" s="11"/>
      <c r="Q20" s="11"/>
      <c r="R20" s="11"/>
      <c r="S20" s="11"/>
      <c r="T20" s="11" t="s">
        <v>135</v>
      </c>
      <c r="U20" s="11" t="s">
        <v>136</v>
      </c>
      <c r="V20" s="12" t="str">
        <f aca="false">IF(A20="","",IF(COUNTIF($A$5:$A$154,A20)&gt;1,"DUPLICATE","UNIQUE"))</f>
        <v>UNIQUE</v>
      </c>
      <c r="W20" s="12" t="str">
        <f aca="false">IF(A20="","",IF(T20="Rejected","REJECTED",IF(AND(B20&lt;&gt;"",C20&lt;&gt;"",D20&lt;&gt;"",E20&lt;&gt;"",F20&lt;&gt;"",G20&lt;&gt;"",H20&lt;&gt;"",I20&lt;&gt;"",J20&lt;&gt;"",M20&lt;&gt;"",O20&lt;&gt;"",T20&lt;&gt;""),"COMPLETE","MISSING FIELDS")))</f>
        <v>COMPLETE</v>
      </c>
    </row>
    <row r="21" customFormat="false" ht="15" hidden="false" customHeight="true" outlineLevel="0" collapsed="false">
      <c r="A21" s="11" t="s">
        <v>271</v>
      </c>
      <c r="B21" s="11" t="s">
        <v>138</v>
      </c>
      <c r="C21" s="11" t="s">
        <v>122</v>
      </c>
      <c r="D21" s="11" t="s">
        <v>150</v>
      </c>
      <c r="E21" s="7" t="s">
        <v>272</v>
      </c>
      <c r="F21" s="7" t="s">
        <v>273</v>
      </c>
      <c r="G21" s="11" t="s">
        <v>274</v>
      </c>
      <c r="H21" s="11" t="s">
        <v>275</v>
      </c>
      <c r="I21" s="11" t="s">
        <v>276</v>
      </c>
      <c r="J21" s="11" t="s">
        <v>277</v>
      </c>
      <c r="K21" s="11" t="s">
        <v>130</v>
      </c>
      <c r="L21" s="11" t="s">
        <v>131</v>
      </c>
      <c r="M21" s="11" t="s">
        <v>132</v>
      </c>
      <c r="N21" s="11" t="s">
        <v>133</v>
      </c>
      <c r="O21" s="11" t="s">
        <v>278</v>
      </c>
      <c r="P21" s="11"/>
      <c r="Q21" s="11"/>
      <c r="R21" s="11"/>
      <c r="S21" s="11"/>
      <c r="T21" s="11" t="s">
        <v>135</v>
      </c>
      <c r="U21" s="11" t="s">
        <v>136</v>
      </c>
      <c r="V21" s="12" t="str">
        <f aca="false">IF(A21="","",IF(COUNTIF($A$5:$A$154,A21)&gt;1,"DUPLICATE","UNIQUE"))</f>
        <v>UNIQUE</v>
      </c>
      <c r="W21" s="12" t="str">
        <f aca="false">IF(A21="","",IF(T21="Rejected","REJECTED",IF(AND(B21&lt;&gt;"",C21&lt;&gt;"",D21&lt;&gt;"",E21&lt;&gt;"",F21&lt;&gt;"",G21&lt;&gt;"",H21&lt;&gt;"",I21&lt;&gt;"",J21&lt;&gt;"",M21&lt;&gt;"",O21&lt;&gt;"",T21&lt;&gt;""),"COMPLETE","MISSING FIELDS")))</f>
        <v>COMPLETE</v>
      </c>
    </row>
    <row r="22" customFormat="false" ht="15" hidden="false" customHeight="true" outlineLevel="0" collapsed="false">
      <c r="A22" s="11" t="s">
        <v>279</v>
      </c>
      <c r="B22" s="11" t="s">
        <v>159</v>
      </c>
      <c r="C22" s="11" t="s">
        <v>139</v>
      </c>
      <c r="D22" s="11" t="s">
        <v>123</v>
      </c>
      <c r="E22" s="7" t="s">
        <v>280</v>
      </c>
      <c r="F22" s="7" t="s">
        <v>281</v>
      </c>
      <c r="G22" s="11" t="s">
        <v>282</v>
      </c>
      <c r="H22" s="11" t="s">
        <v>283</v>
      </c>
      <c r="I22" s="11" t="s">
        <v>284</v>
      </c>
      <c r="J22" s="11" t="s">
        <v>285</v>
      </c>
      <c r="K22" s="11" t="s">
        <v>130</v>
      </c>
      <c r="L22" s="11" t="s">
        <v>131</v>
      </c>
      <c r="M22" s="11" t="s">
        <v>132</v>
      </c>
      <c r="N22" s="11" t="s">
        <v>133</v>
      </c>
      <c r="O22" s="11" t="s">
        <v>286</v>
      </c>
      <c r="P22" s="11"/>
      <c r="Q22" s="11"/>
      <c r="R22" s="11"/>
      <c r="S22" s="11"/>
      <c r="T22" s="11" t="s">
        <v>135</v>
      </c>
      <c r="U22" s="11" t="s">
        <v>167</v>
      </c>
      <c r="V22" s="12" t="str">
        <f aca="false">IF(A22="","",IF(COUNTIF($A$5:$A$154,A22)&gt;1,"DUPLICATE","UNIQUE"))</f>
        <v>UNIQUE</v>
      </c>
      <c r="W22" s="12" t="str">
        <f aca="false">IF(A22="","",IF(T22="Rejected","REJECTED",IF(AND(B22&lt;&gt;"",C22&lt;&gt;"",D22&lt;&gt;"",E22&lt;&gt;"",F22&lt;&gt;"",G22&lt;&gt;"",H22&lt;&gt;"",I22&lt;&gt;"",J22&lt;&gt;"",M22&lt;&gt;"",O22&lt;&gt;"",T22&lt;&gt;""),"COMPLETE","MISSING FIELDS")))</f>
        <v>COMPLETE</v>
      </c>
    </row>
    <row r="23" customFormat="false" ht="15" hidden="false" customHeight="true" outlineLevel="0" collapsed="false">
      <c r="A23" s="11" t="s">
        <v>287</v>
      </c>
      <c r="B23" s="11" t="s">
        <v>121</v>
      </c>
      <c r="C23" s="11" t="s">
        <v>212</v>
      </c>
      <c r="D23" s="11" t="s">
        <v>140</v>
      </c>
      <c r="E23" s="7" t="s">
        <v>288</v>
      </c>
      <c r="F23" s="7" t="s">
        <v>289</v>
      </c>
      <c r="G23" s="11" t="s">
        <v>290</v>
      </c>
      <c r="H23" s="11" t="s">
        <v>291</v>
      </c>
      <c r="I23" s="11" t="s">
        <v>292</v>
      </c>
      <c r="J23" s="11" t="s">
        <v>293</v>
      </c>
      <c r="K23" s="11" t="s">
        <v>130</v>
      </c>
      <c r="L23" s="11" t="s">
        <v>131</v>
      </c>
      <c r="M23" s="11" t="s">
        <v>132</v>
      </c>
      <c r="N23" s="11" t="s">
        <v>133</v>
      </c>
      <c r="O23" s="11" t="s">
        <v>294</v>
      </c>
      <c r="P23" s="11"/>
      <c r="Q23" s="11"/>
      <c r="R23" s="11"/>
      <c r="S23" s="11"/>
      <c r="T23" s="11" t="s">
        <v>135</v>
      </c>
      <c r="U23" s="11" t="s">
        <v>295</v>
      </c>
      <c r="V23" s="12" t="str">
        <f aca="false">IF(A23="","",IF(COUNTIF($A$5:$A$154,A23)&gt;1,"DUPLICATE","UNIQUE"))</f>
        <v>UNIQUE</v>
      </c>
      <c r="W23" s="12" t="str">
        <f aca="false">IF(A23="","",IF(T23="Rejected","REJECTED",IF(AND(B23&lt;&gt;"",C23&lt;&gt;"",D23&lt;&gt;"",E23&lt;&gt;"",F23&lt;&gt;"",G23&lt;&gt;"",H23&lt;&gt;"",I23&lt;&gt;"",J23&lt;&gt;"",M23&lt;&gt;"",O23&lt;&gt;"",T23&lt;&gt;""),"COMPLETE","MISSING FIELDS")))</f>
        <v>COMPLETE</v>
      </c>
    </row>
    <row r="24" customFormat="false" ht="15" hidden="false" customHeight="true" outlineLevel="0" collapsed="false">
      <c r="A24" s="11" t="s">
        <v>296</v>
      </c>
      <c r="B24" s="11" t="s">
        <v>138</v>
      </c>
      <c r="C24" s="11" t="s">
        <v>297</v>
      </c>
      <c r="D24" s="11" t="s">
        <v>123</v>
      </c>
      <c r="E24" s="7" t="s">
        <v>298</v>
      </c>
      <c r="F24" s="7" t="s">
        <v>299</v>
      </c>
      <c r="G24" s="11" t="s">
        <v>300</v>
      </c>
      <c r="H24" s="11" t="s">
        <v>301</v>
      </c>
      <c r="I24" s="11" t="s">
        <v>302</v>
      </c>
      <c r="J24" s="11" t="s">
        <v>303</v>
      </c>
      <c r="K24" s="11" t="s">
        <v>130</v>
      </c>
      <c r="L24" s="11" t="s">
        <v>131</v>
      </c>
      <c r="M24" s="11" t="s">
        <v>132</v>
      </c>
      <c r="N24" s="11" t="s">
        <v>133</v>
      </c>
      <c r="O24" s="11" t="s">
        <v>304</v>
      </c>
      <c r="P24" s="11"/>
      <c r="Q24" s="11"/>
      <c r="R24" s="11"/>
      <c r="S24" s="11"/>
      <c r="T24" s="11" t="s">
        <v>135</v>
      </c>
      <c r="U24" s="11" t="s">
        <v>136</v>
      </c>
      <c r="V24" s="12" t="str">
        <f aca="false">IF(A24="","",IF(COUNTIF($A$5:$A$154,A24)&gt;1,"DUPLICATE","UNIQUE"))</f>
        <v>UNIQUE</v>
      </c>
      <c r="W24" s="12" t="str">
        <f aca="false">IF(A24="","",IF(T24="Rejected","REJECTED",IF(AND(B24&lt;&gt;"",C24&lt;&gt;"",D24&lt;&gt;"",E24&lt;&gt;"",F24&lt;&gt;"",G24&lt;&gt;"",H24&lt;&gt;"",I24&lt;&gt;"",J24&lt;&gt;"",M24&lt;&gt;"",O24&lt;&gt;"",T24&lt;&gt;""),"COMPLETE","MISSING FIELDS")))</f>
        <v>COMPLETE</v>
      </c>
    </row>
    <row r="25" customFormat="false" ht="15" hidden="false" customHeight="true" outlineLevel="0" collapsed="false">
      <c r="A25" s="11" t="s">
        <v>305</v>
      </c>
      <c r="B25" s="11" t="s">
        <v>121</v>
      </c>
      <c r="C25" s="11" t="s">
        <v>212</v>
      </c>
      <c r="D25" s="11" t="s">
        <v>150</v>
      </c>
      <c r="E25" s="7" t="s">
        <v>306</v>
      </c>
      <c r="F25" s="7" t="s">
        <v>307</v>
      </c>
      <c r="G25" s="11" t="s">
        <v>308</v>
      </c>
      <c r="H25" s="11" t="s">
        <v>309</v>
      </c>
      <c r="I25" s="11" t="s">
        <v>310</v>
      </c>
      <c r="J25" s="11" t="s">
        <v>311</v>
      </c>
      <c r="K25" s="11" t="s">
        <v>130</v>
      </c>
      <c r="L25" s="11" t="s">
        <v>131</v>
      </c>
      <c r="M25" s="11" t="s">
        <v>132</v>
      </c>
      <c r="N25" s="11" t="s">
        <v>133</v>
      </c>
      <c r="O25" s="11" t="s">
        <v>312</v>
      </c>
      <c r="P25" s="11"/>
      <c r="Q25" s="11"/>
      <c r="R25" s="11"/>
      <c r="S25" s="11"/>
      <c r="T25" s="11" t="s">
        <v>135</v>
      </c>
      <c r="U25" s="11" t="s">
        <v>136</v>
      </c>
      <c r="V25" s="12" t="str">
        <f aca="false">IF(A25="","",IF(COUNTIF($A$5:$A$154,A25)&gt;1,"DUPLICATE","UNIQUE"))</f>
        <v>UNIQUE</v>
      </c>
      <c r="W25" s="12" t="str">
        <f aca="false">IF(A25="","",IF(T25="Rejected","REJECTED",IF(AND(B25&lt;&gt;"",C25&lt;&gt;"",D25&lt;&gt;"",E25&lt;&gt;"",F25&lt;&gt;"",G25&lt;&gt;"",H25&lt;&gt;"",I25&lt;&gt;"",J25&lt;&gt;"",M25&lt;&gt;"",O25&lt;&gt;"",T25&lt;&gt;""),"COMPLETE","MISSING FIELDS")))</f>
        <v>COMPLETE</v>
      </c>
    </row>
    <row r="26" customFormat="false" ht="15" hidden="false" customHeight="true" outlineLevel="0" collapsed="false">
      <c r="A26" s="11" t="s">
        <v>313</v>
      </c>
      <c r="B26" s="11" t="s">
        <v>159</v>
      </c>
      <c r="C26" s="11" t="s">
        <v>139</v>
      </c>
      <c r="D26" s="11" t="s">
        <v>140</v>
      </c>
      <c r="E26" s="7" t="s">
        <v>314</v>
      </c>
      <c r="F26" s="7" t="s">
        <v>315</v>
      </c>
      <c r="G26" s="11" t="s">
        <v>316</v>
      </c>
      <c r="H26" s="11" t="s">
        <v>317</v>
      </c>
      <c r="I26" s="11" t="s">
        <v>318</v>
      </c>
      <c r="J26" s="11" t="s">
        <v>319</v>
      </c>
      <c r="K26" s="11" t="s">
        <v>130</v>
      </c>
      <c r="L26" s="11" t="s">
        <v>131</v>
      </c>
      <c r="M26" s="11" t="s">
        <v>132</v>
      </c>
      <c r="N26" s="11" t="s">
        <v>133</v>
      </c>
      <c r="O26" s="11" t="s">
        <v>320</v>
      </c>
      <c r="P26" s="11"/>
      <c r="Q26" s="11"/>
      <c r="R26" s="11"/>
      <c r="S26" s="11"/>
      <c r="T26" s="11" t="s">
        <v>135</v>
      </c>
      <c r="U26" s="11" t="s">
        <v>321</v>
      </c>
      <c r="V26" s="12" t="str">
        <f aca="false">IF(A26="","",IF(COUNTIF($A$5:$A$154,A26)&gt;1,"DUPLICATE","UNIQUE"))</f>
        <v>UNIQUE</v>
      </c>
      <c r="W26" s="12" t="str">
        <f aca="false">IF(A26="","",IF(T26="Rejected","REJECTED",IF(AND(B26&lt;&gt;"",C26&lt;&gt;"",D26&lt;&gt;"",E26&lt;&gt;"",F26&lt;&gt;"",G26&lt;&gt;"",H26&lt;&gt;"",I26&lt;&gt;"",J26&lt;&gt;"",M26&lt;&gt;"",O26&lt;&gt;"",T26&lt;&gt;""),"COMPLETE","MISSING FIELDS")))</f>
        <v>COMPLETE</v>
      </c>
    </row>
    <row r="27" customFormat="false" ht="15" hidden="false" customHeight="true" outlineLevel="0" collapsed="false">
      <c r="A27" s="11" t="s">
        <v>322</v>
      </c>
      <c r="B27" s="11" t="s">
        <v>121</v>
      </c>
      <c r="C27" s="11" t="s">
        <v>212</v>
      </c>
      <c r="D27" s="11" t="s">
        <v>221</v>
      </c>
      <c r="E27" s="7" t="s">
        <v>323</v>
      </c>
      <c r="F27" s="7" t="s">
        <v>324</v>
      </c>
      <c r="G27" s="11" t="s">
        <v>325</v>
      </c>
      <c r="H27" s="11" t="s">
        <v>326</v>
      </c>
      <c r="I27" s="11" t="s">
        <v>327</v>
      </c>
      <c r="J27" s="11" t="s">
        <v>328</v>
      </c>
      <c r="K27" s="11" t="s">
        <v>130</v>
      </c>
      <c r="L27" s="11" t="s">
        <v>131</v>
      </c>
      <c r="M27" s="11" t="s">
        <v>132</v>
      </c>
      <c r="N27" s="11" t="s">
        <v>133</v>
      </c>
      <c r="O27" s="11" t="s">
        <v>329</v>
      </c>
      <c r="P27" s="11"/>
      <c r="Q27" s="11"/>
      <c r="R27" s="11"/>
      <c r="S27" s="11"/>
      <c r="T27" s="11" t="s">
        <v>135</v>
      </c>
      <c r="U27" s="11" t="s">
        <v>330</v>
      </c>
      <c r="V27" s="12" t="str">
        <f aca="false">IF(A27="","",IF(COUNTIF($A$5:$A$154,A27)&gt;1,"DUPLICATE","UNIQUE"))</f>
        <v>UNIQUE</v>
      </c>
      <c r="W27" s="12" t="str">
        <f aca="false">IF(A27="","",IF(T27="Rejected","REJECTED",IF(AND(B27&lt;&gt;"",C27&lt;&gt;"",D27&lt;&gt;"",E27&lt;&gt;"",F27&lt;&gt;"",G27&lt;&gt;"",H27&lt;&gt;"",I27&lt;&gt;"",J27&lt;&gt;"",M27&lt;&gt;"",O27&lt;&gt;"",T27&lt;&gt;""),"COMPLETE","MISSING FIELDS")))</f>
        <v>COMPLETE</v>
      </c>
    </row>
    <row r="28" customFormat="false" ht="15" hidden="false" customHeight="true" outlineLevel="0" collapsed="false">
      <c r="A28" s="11" t="s">
        <v>331</v>
      </c>
      <c r="B28" s="11" t="s">
        <v>138</v>
      </c>
      <c r="C28" s="11" t="s">
        <v>297</v>
      </c>
      <c r="D28" s="11" t="s">
        <v>150</v>
      </c>
      <c r="E28" s="7" t="s">
        <v>332</v>
      </c>
      <c r="F28" s="7" t="s">
        <v>333</v>
      </c>
      <c r="G28" s="11" t="s">
        <v>334</v>
      </c>
      <c r="H28" s="11" t="s">
        <v>335</v>
      </c>
      <c r="I28" s="11" t="s">
        <v>336</v>
      </c>
      <c r="J28" s="11" t="s">
        <v>337</v>
      </c>
      <c r="K28" s="11" t="s">
        <v>130</v>
      </c>
      <c r="L28" s="11" t="s">
        <v>131</v>
      </c>
      <c r="M28" s="11" t="s">
        <v>132</v>
      </c>
      <c r="N28" s="11" t="s">
        <v>133</v>
      </c>
      <c r="O28" s="11" t="s">
        <v>338</v>
      </c>
      <c r="P28" s="11"/>
      <c r="Q28" s="11"/>
      <c r="R28" s="11"/>
      <c r="S28" s="11"/>
      <c r="T28" s="11" t="s">
        <v>135</v>
      </c>
      <c r="U28" s="11" t="s">
        <v>136</v>
      </c>
      <c r="V28" s="12" t="str">
        <f aca="false">IF(A28="","",IF(COUNTIF($A$5:$A$154,A28)&gt;1,"DUPLICATE","UNIQUE"))</f>
        <v>UNIQUE</v>
      </c>
      <c r="W28" s="12" t="str">
        <f aca="false">IF(A28="","",IF(T28="Rejected","REJECTED",IF(AND(B28&lt;&gt;"",C28&lt;&gt;"",D28&lt;&gt;"",E28&lt;&gt;"",F28&lt;&gt;"",G28&lt;&gt;"",H28&lt;&gt;"",I28&lt;&gt;"",J28&lt;&gt;"",M28&lt;&gt;"",O28&lt;&gt;"",T28&lt;&gt;""),"COMPLETE","MISSING FIELDS")))</f>
        <v>COMPLETE</v>
      </c>
    </row>
    <row r="29" customFormat="false" ht="15" hidden="false" customHeight="true" outlineLevel="0" collapsed="false">
      <c r="A29" s="11" t="s">
        <v>339</v>
      </c>
      <c r="B29" s="11" t="s">
        <v>121</v>
      </c>
      <c r="C29" s="11" t="s">
        <v>212</v>
      </c>
      <c r="D29" s="11" t="s">
        <v>123</v>
      </c>
      <c r="E29" s="7" t="s">
        <v>340</v>
      </c>
      <c r="F29" s="7" t="s">
        <v>341</v>
      </c>
      <c r="G29" s="11" t="s">
        <v>342</v>
      </c>
      <c r="H29" s="11" t="s">
        <v>343</v>
      </c>
      <c r="I29" s="11" t="s">
        <v>344</v>
      </c>
      <c r="J29" s="11" t="s">
        <v>345</v>
      </c>
      <c r="K29" s="11" t="s">
        <v>130</v>
      </c>
      <c r="L29" s="11" t="s">
        <v>131</v>
      </c>
      <c r="M29" s="11" t="s">
        <v>132</v>
      </c>
      <c r="N29" s="11" t="s">
        <v>133</v>
      </c>
      <c r="O29" s="11" t="s">
        <v>346</v>
      </c>
      <c r="P29" s="11"/>
      <c r="Q29" s="11"/>
      <c r="R29" s="11"/>
      <c r="S29" s="11"/>
      <c r="T29" s="11" t="s">
        <v>135</v>
      </c>
      <c r="U29" s="11" t="s">
        <v>136</v>
      </c>
      <c r="V29" s="12" t="str">
        <f aca="false">IF(A29="","",IF(COUNTIF($A$5:$A$154,A29)&gt;1,"DUPLICATE","UNIQUE"))</f>
        <v>UNIQUE</v>
      </c>
      <c r="W29" s="12" t="str">
        <f aca="false">IF(A29="","",IF(T29="Rejected","REJECTED",IF(AND(B29&lt;&gt;"",C29&lt;&gt;"",D29&lt;&gt;"",E29&lt;&gt;"",F29&lt;&gt;"",G29&lt;&gt;"",H29&lt;&gt;"",I29&lt;&gt;"",J29&lt;&gt;"",M29&lt;&gt;"",O29&lt;&gt;"",T29&lt;&gt;""),"COMPLETE","MISSING FIELDS")))</f>
        <v>COMPLETE</v>
      </c>
    </row>
    <row r="30" customFormat="false" ht="15" hidden="false" customHeight="true" outlineLevel="0" collapsed="false">
      <c r="A30" s="11" t="s">
        <v>347</v>
      </c>
      <c r="B30" s="11" t="s">
        <v>138</v>
      </c>
      <c r="C30" s="11" t="s">
        <v>297</v>
      </c>
      <c r="D30" s="11" t="s">
        <v>140</v>
      </c>
      <c r="E30" s="7" t="s">
        <v>348</v>
      </c>
      <c r="F30" s="7" t="s">
        <v>349</v>
      </c>
      <c r="G30" s="11" t="s">
        <v>350</v>
      </c>
      <c r="H30" s="11" t="s">
        <v>351</v>
      </c>
      <c r="I30" s="11" t="s">
        <v>352</v>
      </c>
      <c r="J30" s="11" t="s">
        <v>353</v>
      </c>
      <c r="K30" s="11" t="s">
        <v>130</v>
      </c>
      <c r="L30" s="11" t="s">
        <v>131</v>
      </c>
      <c r="M30" s="11" t="s">
        <v>132</v>
      </c>
      <c r="N30" s="11" t="s">
        <v>133</v>
      </c>
      <c r="O30" s="11" t="s">
        <v>354</v>
      </c>
      <c r="P30" s="11"/>
      <c r="Q30" s="11"/>
      <c r="R30" s="11"/>
      <c r="S30" s="11"/>
      <c r="T30" s="11" t="s">
        <v>135</v>
      </c>
      <c r="U30" s="11" t="s">
        <v>355</v>
      </c>
      <c r="V30" s="12" t="str">
        <f aca="false">IF(A30="","",IF(COUNTIF($A$5:$A$154,A30)&gt;1,"DUPLICATE","UNIQUE"))</f>
        <v>UNIQUE</v>
      </c>
      <c r="W30" s="12" t="str">
        <f aca="false">IF(A30="","",IF(T30="Rejected","REJECTED",IF(AND(B30&lt;&gt;"",C30&lt;&gt;"",D30&lt;&gt;"",E30&lt;&gt;"",F30&lt;&gt;"",G30&lt;&gt;"",H30&lt;&gt;"",I30&lt;&gt;"",J30&lt;&gt;"",M30&lt;&gt;"",O30&lt;&gt;"",T30&lt;&gt;""),"COMPLETE","MISSING FIELDS")))</f>
        <v>COMPLETE</v>
      </c>
    </row>
    <row r="31" customFormat="false" ht="15" hidden="false" customHeight="true" outlineLevel="0" collapsed="false">
      <c r="A31" s="11" t="s">
        <v>356</v>
      </c>
      <c r="B31" s="11" t="s">
        <v>121</v>
      </c>
      <c r="C31" s="11" t="s">
        <v>212</v>
      </c>
      <c r="D31" s="11" t="s">
        <v>140</v>
      </c>
      <c r="E31" s="7" t="s">
        <v>357</v>
      </c>
      <c r="F31" s="7" t="s">
        <v>358</v>
      </c>
      <c r="G31" s="11" t="s">
        <v>359</v>
      </c>
      <c r="H31" s="11" t="s">
        <v>360</v>
      </c>
      <c r="I31" s="11" t="s">
        <v>361</v>
      </c>
      <c r="J31" s="11" t="s">
        <v>362</v>
      </c>
      <c r="K31" s="11" t="s">
        <v>130</v>
      </c>
      <c r="L31" s="11" t="s">
        <v>131</v>
      </c>
      <c r="M31" s="11" t="s">
        <v>132</v>
      </c>
      <c r="N31" s="11" t="s">
        <v>133</v>
      </c>
      <c r="O31" s="11" t="s">
        <v>363</v>
      </c>
      <c r="P31" s="11"/>
      <c r="Q31" s="11"/>
      <c r="R31" s="11"/>
      <c r="S31" s="11"/>
      <c r="T31" s="11" t="s">
        <v>135</v>
      </c>
      <c r="U31" s="11" t="s">
        <v>364</v>
      </c>
      <c r="V31" s="12" t="str">
        <f aca="false">IF(A31="","",IF(COUNTIF($A$5:$A$154,A31)&gt;1,"DUPLICATE","UNIQUE"))</f>
        <v>UNIQUE</v>
      </c>
      <c r="W31" s="12" t="str">
        <f aca="false">IF(A31="","",IF(T31="Rejected","REJECTED",IF(AND(B31&lt;&gt;"",C31&lt;&gt;"",D31&lt;&gt;"",E31&lt;&gt;"",F31&lt;&gt;"",G31&lt;&gt;"",H31&lt;&gt;"",I31&lt;&gt;"",J31&lt;&gt;"",M31&lt;&gt;"",O31&lt;&gt;"",T31&lt;&gt;""),"COMPLETE","MISSING FIELDS")))</f>
        <v>COMPLETE</v>
      </c>
    </row>
    <row r="32" customFormat="false" ht="15" hidden="false" customHeight="true" outlineLevel="0" collapsed="false">
      <c r="A32" s="11" t="s">
        <v>365</v>
      </c>
      <c r="B32" s="11" t="s">
        <v>138</v>
      </c>
      <c r="C32" s="11" t="s">
        <v>297</v>
      </c>
      <c r="D32" s="11" t="s">
        <v>169</v>
      </c>
      <c r="E32" s="7" t="s">
        <v>366</v>
      </c>
      <c r="F32" s="7" t="s">
        <v>367</v>
      </c>
      <c r="G32" s="11" t="s">
        <v>368</v>
      </c>
      <c r="H32" s="11" t="s">
        <v>369</v>
      </c>
      <c r="I32" s="11" t="s">
        <v>370</v>
      </c>
      <c r="J32" s="11" t="s">
        <v>371</v>
      </c>
      <c r="K32" s="11" t="s">
        <v>130</v>
      </c>
      <c r="L32" s="11" t="s">
        <v>131</v>
      </c>
      <c r="M32" s="11" t="s">
        <v>132</v>
      </c>
      <c r="N32" s="11" t="s">
        <v>133</v>
      </c>
      <c r="O32" s="11" t="s">
        <v>372</v>
      </c>
      <c r="P32" s="11"/>
      <c r="Q32" s="11"/>
      <c r="R32" s="11"/>
      <c r="S32" s="11"/>
      <c r="T32" s="11" t="s">
        <v>135</v>
      </c>
      <c r="U32" s="11" t="s">
        <v>136</v>
      </c>
      <c r="V32" s="12" t="str">
        <f aca="false">IF(A32="","",IF(COUNTIF($A$5:$A$154,A32)&gt;1,"DUPLICATE","UNIQUE"))</f>
        <v>UNIQUE</v>
      </c>
      <c r="W32" s="12" t="str">
        <f aca="false">IF(A32="","",IF(T32="Rejected","REJECTED",IF(AND(B32&lt;&gt;"",C32&lt;&gt;"",D32&lt;&gt;"",E32&lt;&gt;"",F32&lt;&gt;"",G32&lt;&gt;"",H32&lt;&gt;"",I32&lt;&gt;"",J32&lt;&gt;"",M32&lt;&gt;"",O32&lt;&gt;"",T32&lt;&gt;""),"COMPLETE","MISSING FIELDS")))</f>
        <v>COMPLETE</v>
      </c>
    </row>
    <row r="33" customFormat="false" ht="15" hidden="false" customHeight="true" outlineLevel="0" collapsed="false">
      <c r="A33" s="11" t="s">
        <v>373</v>
      </c>
      <c r="B33" s="11" t="s">
        <v>121</v>
      </c>
      <c r="C33" s="11" t="s">
        <v>212</v>
      </c>
      <c r="D33" s="11" t="s">
        <v>169</v>
      </c>
      <c r="E33" s="7" t="s">
        <v>374</v>
      </c>
      <c r="F33" s="7" t="s">
        <v>375</v>
      </c>
      <c r="G33" s="11" t="s">
        <v>376</v>
      </c>
      <c r="H33" s="11" t="s">
        <v>377</v>
      </c>
      <c r="I33" s="11" t="s">
        <v>378</v>
      </c>
      <c r="J33" s="11" t="s">
        <v>379</v>
      </c>
      <c r="K33" s="11" t="s">
        <v>130</v>
      </c>
      <c r="L33" s="11" t="s">
        <v>131</v>
      </c>
      <c r="M33" s="11" t="s">
        <v>132</v>
      </c>
      <c r="N33" s="11" t="s">
        <v>133</v>
      </c>
      <c r="O33" s="11" t="s">
        <v>380</v>
      </c>
      <c r="P33" s="11"/>
      <c r="Q33" s="11"/>
      <c r="R33" s="11"/>
      <c r="S33" s="11"/>
      <c r="T33" s="11" t="s">
        <v>135</v>
      </c>
      <c r="U33" s="11" t="s">
        <v>136</v>
      </c>
      <c r="V33" s="12" t="str">
        <f aca="false">IF(A33="","",IF(COUNTIF($A$5:$A$154,A33)&gt;1,"DUPLICATE","UNIQUE"))</f>
        <v>UNIQUE</v>
      </c>
      <c r="W33" s="12" t="str">
        <f aca="false">IF(A33="","",IF(T33="Rejected","REJECTED",IF(AND(B33&lt;&gt;"",C33&lt;&gt;"",D33&lt;&gt;"",E33&lt;&gt;"",F33&lt;&gt;"",G33&lt;&gt;"",H33&lt;&gt;"",I33&lt;&gt;"",J33&lt;&gt;"",M33&lt;&gt;"",O33&lt;&gt;"",T33&lt;&gt;""),"COMPLETE","MISSING FIELDS")))</f>
        <v>COMPLETE</v>
      </c>
    </row>
    <row r="34" customFormat="false" ht="15" hidden="false" customHeight="true" outlineLevel="0" collapsed="false">
      <c r="A34" s="11" t="s">
        <v>381</v>
      </c>
      <c r="B34" s="11" t="s">
        <v>138</v>
      </c>
      <c r="C34" s="11" t="s">
        <v>297</v>
      </c>
      <c r="D34" s="11" t="s">
        <v>221</v>
      </c>
      <c r="E34" s="7" t="s">
        <v>382</v>
      </c>
      <c r="F34" s="7" t="s">
        <v>383</v>
      </c>
      <c r="G34" s="11" t="s">
        <v>384</v>
      </c>
      <c r="H34" s="11" t="s">
        <v>385</v>
      </c>
      <c r="I34" s="11" t="s">
        <v>386</v>
      </c>
      <c r="J34" s="11" t="s">
        <v>387</v>
      </c>
      <c r="K34" s="11" t="s">
        <v>130</v>
      </c>
      <c r="L34" s="11" t="s">
        <v>131</v>
      </c>
      <c r="M34" s="11" t="s">
        <v>132</v>
      </c>
      <c r="N34" s="11" t="s">
        <v>133</v>
      </c>
      <c r="O34" s="11" t="s">
        <v>388</v>
      </c>
      <c r="P34" s="11"/>
      <c r="Q34" s="11"/>
      <c r="R34" s="11"/>
      <c r="S34" s="11"/>
      <c r="T34" s="11" t="s">
        <v>135</v>
      </c>
      <c r="U34" s="11" t="s">
        <v>389</v>
      </c>
      <c r="V34" s="12" t="str">
        <f aca="false">IF(A34="","",IF(COUNTIF($A$5:$A$154,A34)&gt;1,"DUPLICATE","UNIQUE"))</f>
        <v>UNIQUE</v>
      </c>
      <c r="W34" s="12" t="str">
        <f aca="false">IF(A34="","",IF(T34="Rejected","REJECTED",IF(AND(B34&lt;&gt;"",C34&lt;&gt;"",D34&lt;&gt;"",E34&lt;&gt;"",F34&lt;&gt;"",G34&lt;&gt;"",H34&lt;&gt;"",I34&lt;&gt;"",J34&lt;&gt;"",M34&lt;&gt;"",O34&lt;&gt;"",T34&lt;&gt;""),"COMPLETE","MISSING FIELDS")))</f>
        <v>COMPLETE</v>
      </c>
    </row>
    <row r="35" customFormat="false" ht="15" hidden="false" customHeight="true" outlineLevel="0" collapsed="false">
      <c r="A35" s="11"/>
      <c r="B35" s="11"/>
      <c r="C35" s="11"/>
      <c r="D35" s="11"/>
      <c r="E35" s="11"/>
      <c r="F35" s="11"/>
      <c r="G35" s="11"/>
      <c r="H35" s="11"/>
      <c r="I35" s="11"/>
      <c r="J35" s="11"/>
      <c r="K35" s="11"/>
      <c r="L35" s="11"/>
      <c r="M35" s="11"/>
      <c r="N35" s="11"/>
      <c r="O35" s="11"/>
      <c r="P35" s="11"/>
      <c r="Q35" s="11"/>
      <c r="R35" s="11"/>
      <c r="S35" s="11"/>
      <c r="T35" s="11"/>
      <c r="U35" s="11"/>
      <c r="V35" s="12" t="str">
        <f aca="false">IF(A35="","",IF(COUNTIF($A$5:$A$154,A35)&gt;1,"DUPLICATE","UNIQUE"))</f>
        <v/>
      </c>
      <c r="W35" s="12" t="str">
        <f aca="false">IF(A35="","",IF(T35="Rejected","REJECTED",IF(AND(B35&lt;&gt;"",C35&lt;&gt;"",D35&lt;&gt;"",E35&lt;&gt;"",F35&lt;&gt;"",G35&lt;&gt;"",H35&lt;&gt;"",I35&lt;&gt;"",J35&lt;&gt;"",M35&lt;&gt;"",O35&lt;&gt;"",T35&lt;&gt;""),"COMPLETE","MISSING FIELDS")))</f>
        <v/>
      </c>
    </row>
    <row r="36" customFormat="false" ht="15" hidden="false" customHeight="true" outlineLevel="0" collapsed="false">
      <c r="A36" s="11"/>
      <c r="B36" s="11"/>
      <c r="C36" s="11"/>
      <c r="D36" s="11"/>
      <c r="E36" s="11"/>
      <c r="F36" s="11"/>
      <c r="G36" s="11"/>
      <c r="H36" s="11"/>
      <c r="I36" s="11"/>
      <c r="J36" s="11"/>
      <c r="K36" s="11"/>
      <c r="L36" s="11"/>
      <c r="M36" s="11"/>
      <c r="N36" s="11"/>
      <c r="O36" s="11"/>
      <c r="P36" s="11"/>
      <c r="Q36" s="11"/>
      <c r="R36" s="11"/>
      <c r="S36" s="11"/>
      <c r="T36" s="11"/>
      <c r="U36" s="11"/>
      <c r="V36" s="12" t="str">
        <f aca="false">IF(A36="","",IF(COUNTIF($A$5:$A$154,A36)&gt;1,"DUPLICATE","UNIQUE"))</f>
        <v/>
      </c>
      <c r="W36" s="12" t="str">
        <f aca="false">IF(A36="","",IF(T36="Rejected","REJECTED",IF(AND(B36&lt;&gt;"",C36&lt;&gt;"",D36&lt;&gt;"",E36&lt;&gt;"",F36&lt;&gt;"",G36&lt;&gt;"",H36&lt;&gt;"",I36&lt;&gt;"",J36&lt;&gt;"",M36&lt;&gt;"",O36&lt;&gt;"",T36&lt;&gt;""),"COMPLETE","MISSING FIELDS")))</f>
        <v/>
      </c>
    </row>
    <row r="37" customFormat="false" ht="15" hidden="false" customHeight="true" outlineLevel="0" collapsed="false">
      <c r="A37" s="11"/>
      <c r="B37" s="11"/>
      <c r="C37" s="11"/>
      <c r="D37" s="11"/>
      <c r="E37" s="11"/>
      <c r="F37" s="11"/>
      <c r="G37" s="11"/>
      <c r="H37" s="11"/>
      <c r="I37" s="11"/>
      <c r="J37" s="11"/>
      <c r="K37" s="11"/>
      <c r="L37" s="11"/>
      <c r="M37" s="11"/>
      <c r="N37" s="11"/>
      <c r="O37" s="11"/>
      <c r="P37" s="11"/>
      <c r="Q37" s="11"/>
      <c r="R37" s="11"/>
      <c r="S37" s="11"/>
      <c r="T37" s="11"/>
      <c r="U37" s="11"/>
      <c r="V37" s="12" t="str">
        <f aca="false">IF(A37="","",IF(COUNTIF($A$5:$A$154,A37)&gt;1,"DUPLICATE","UNIQUE"))</f>
        <v/>
      </c>
      <c r="W37" s="12" t="str">
        <f aca="false">IF(A37="","",IF(T37="Rejected","REJECTED",IF(AND(B37&lt;&gt;"",C37&lt;&gt;"",D37&lt;&gt;"",E37&lt;&gt;"",F37&lt;&gt;"",G37&lt;&gt;"",H37&lt;&gt;"",I37&lt;&gt;"",J37&lt;&gt;"",M37&lt;&gt;"",O37&lt;&gt;"",T37&lt;&gt;""),"COMPLETE","MISSING FIELDS")))</f>
        <v/>
      </c>
    </row>
    <row r="38" customFormat="false" ht="15" hidden="false" customHeight="true" outlineLevel="0" collapsed="false">
      <c r="A38" s="11"/>
      <c r="B38" s="11"/>
      <c r="C38" s="11"/>
      <c r="D38" s="11"/>
      <c r="E38" s="11"/>
      <c r="F38" s="11"/>
      <c r="G38" s="11"/>
      <c r="H38" s="11"/>
      <c r="I38" s="11"/>
      <c r="J38" s="11"/>
      <c r="K38" s="11"/>
      <c r="L38" s="11"/>
      <c r="M38" s="11"/>
      <c r="N38" s="11"/>
      <c r="O38" s="11"/>
      <c r="P38" s="11"/>
      <c r="Q38" s="11"/>
      <c r="R38" s="11"/>
      <c r="S38" s="11"/>
      <c r="T38" s="11"/>
      <c r="U38" s="11"/>
      <c r="V38" s="12" t="str">
        <f aca="false">IF(A38="","",IF(COUNTIF($A$5:$A$154,A38)&gt;1,"DUPLICATE","UNIQUE"))</f>
        <v/>
      </c>
      <c r="W38" s="12" t="str">
        <f aca="false">IF(A38="","",IF(T38="Rejected","REJECTED",IF(AND(B38&lt;&gt;"",C38&lt;&gt;"",D38&lt;&gt;"",E38&lt;&gt;"",F38&lt;&gt;"",G38&lt;&gt;"",H38&lt;&gt;"",I38&lt;&gt;"",J38&lt;&gt;"",M38&lt;&gt;"",O38&lt;&gt;"",T38&lt;&gt;""),"COMPLETE","MISSING FIELDS")))</f>
        <v/>
      </c>
    </row>
    <row r="39" customFormat="false" ht="15" hidden="false" customHeight="true" outlineLevel="0" collapsed="false">
      <c r="A39" s="11"/>
      <c r="B39" s="11"/>
      <c r="C39" s="11"/>
      <c r="D39" s="11"/>
      <c r="E39" s="11"/>
      <c r="F39" s="11"/>
      <c r="G39" s="11"/>
      <c r="H39" s="11"/>
      <c r="I39" s="11"/>
      <c r="J39" s="11"/>
      <c r="K39" s="11"/>
      <c r="L39" s="11"/>
      <c r="M39" s="11"/>
      <c r="N39" s="11"/>
      <c r="O39" s="11"/>
      <c r="P39" s="11"/>
      <c r="Q39" s="11"/>
      <c r="R39" s="11"/>
      <c r="S39" s="11"/>
      <c r="T39" s="11"/>
      <c r="U39" s="11"/>
      <c r="V39" s="12" t="str">
        <f aca="false">IF(A39="","",IF(COUNTIF($A$5:$A$154,A39)&gt;1,"DUPLICATE","UNIQUE"))</f>
        <v/>
      </c>
      <c r="W39" s="12" t="str">
        <f aca="false">IF(A39="","",IF(T39="Rejected","REJECTED",IF(AND(B39&lt;&gt;"",C39&lt;&gt;"",D39&lt;&gt;"",E39&lt;&gt;"",F39&lt;&gt;"",G39&lt;&gt;"",H39&lt;&gt;"",I39&lt;&gt;"",J39&lt;&gt;"",M39&lt;&gt;"",O39&lt;&gt;"",T39&lt;&gt;""),"COMPLETE","MISSING FIELDS")))</f>
        <v/>
      </c>
    </row>
    <row r="40" customFormat="false" ht="15" hidden="false" customHeight="true" outlineLevel="0" collapsed="false">
      <c r="A40" s="11"/>
      <c r="B40" s="11"/>
      <c r="C40" s="11"/>
      <c r="D40" s="11"/>
      <c r="E40" s="11"/>
      <c r="F40" s="11"/>
      <c r="G40" s="11"/>
      <c r="H40" s="11"/>
      <c r="I40" s="11"/>
      <c r="J40" s="11"/>
      <c r="K40" s="11"/>
      <c r="L40" s="11"/>
      <c r="M40" s="11"/>
      <c r="N40" s="11"/>
      <c r="O40" s="11"/>
      <c r="P40" s="11"/>
      <c r="Q40" s="11"/>
      <c r="R40" s="11"/>
      <c r="S40" s="11"/>
      <c r="T40" s="11"/>
      <c r="U40" s="11"/>
      <c r="V40" s="12" t="str">
        <f aca="false">IF(A40="","",IF(COUNTIF($A$5:$A$154,A40)&gt;1,"DUPLICATE","UNIQUE"))</f>
        <v/>
      </c>
      <c r="W40" s="12" t="str">
        <f aca="false">IF(A40="","",IF(T40="Rejected","REJECTED",IF(AND(B40&lt;&gt;"",C40&lt;&gt;"",D40&lt;&gt;"",E40&lt;&gt;"",F40&lt;&gt;"",G40&lt;&gt;"",H40&lt;&gt;"",I40&lt;&gt;"",J40&lt;&gt;"",M40&lt;&gt;"",O40&lt;&gt;"",T40&lt;&gt;""),"COMPLETE","MISSING FIELDS")))</f>
        <v/>
      </c>
    </row>
    <row r="41" customFormat="false" ht="15" hidden="false" customHeight="true" outlineLevel="0" collapsed="false">
      <c r="A41" s="11"/>
      <c r="B41" s="11"/>
      <c r="C41" s="11"/>
      <c r="D41" s="11"/>
      <c r="E41" s="11"/>
      <c r="F41" s="11"/>
      <c r="G41" s="11"/>
      <c r="H41" s="11"/>
      <c r="I41" s="11"/>
      <c r="J41" s="11"/>
      <c r="K41" s="11"/>
      <c r="L41" s="11"/>
      <c r="M41" s="11"/>
      <c r="N41" s="11"/>
      <c r="O41" s="11"/>
      <c r="P41" s="11"/>
      <c r="Q41" s="11"/>
      <c r="R41" s="11"/>
      <c r="S41" s="11"/>
      <c r="T41" s="11"/>
      <c r="U41" s="11"/>
      <c r="V41" s="12" t="str">
        <f aca="false">IF(A41="","",IF(COUNTIF($A$5:$A$154,A41)&gt;1,"DUPLICATE","UNIQUE"))</f>
        <v/>
      </c>
      <c r="W41" s="12" t="str">
        <f aca="false">IF(A41="","",IF(T41="Rejected","REJECTED",IF(AND(B41&lt;&gt;"",C41&lt;&gt;"",D41&lt;&gt;"",E41&lt;&gt;"",F41&lt;&gt;"",G41&lt;&gt;"",H41&lt;&gt;"",I41&lt;&gt;"",J41&lt;&gt;"",M41&lt;&gt;"",O41&lt;&gt;"",T41&lt;&gt;""),"COMPLETE","MISSING FIELDS")))</f>
        <v/>
      </c>
    </row>
    <row r="42" customFormat="false" ht="15" hidden="false" customHeight="true" outlineLevel="0" collapsed="false">
      <c r="A42" s="11"/>
      <c r="B42" s="11"/>
      <c r="C42" s="11"/>
      <c r="D42" s="11"/>
      <c r="E42" s="11"/>
      <c r="F42" s="11"/>
      <c r="G42" s="11"/>
      <c r="H42" s="11"/>
      <c r="I42" s="11"/>
      <c r="J42" s="11"/>
      <c r="K42" s="11"/>
      <c r="L42" s="11"/>
      <c r="M42" s="11"/>
      <c r="N42" s="11"/>
      <c r="O42" s="11"/>
      <c r="P42" s="11"/>
      <c r="Q42" s="11"/>
      <c r="R42" s="11"/>
      <c r="S42" s="11"/>
      <c r="T42" s="11"/>
      <c r="U42" s="11"/>
      <c r="V42" s="12" t="str">
        <f aca="false">IF(A42="","",IF(COUNTIF($A$5:$A$154,A42)&gt;1,"DUPLICATE","UNIQUE"))</f>
        <v/>
      </c>
      <c r="W42" s="12" t="str">
        <f aca="false">IF(A42="","",IF(T42="Rejected","REJECTED",IF(AND(B42&lt;&gt;"",C42&lt;&gt;"",D42&lt;&gt;"",E42&lt;&gt;"",F42&lt;&gt;"",G42&lt;&gt;"",H42&lt;&gt;"",I42&lt;&gt;"",J42&lt;&gt;"",M42&lt;&gt;"",O42&lt;&gt;"",T42&lt;&gt;""),"COMPLETE","MISSING FIELDS")))</f>
        <v/>
      </c>
    </row>
    <row r="43" customFormat="false" ht="15" hidden="false" customHeight="true" outlineLevel="0" collapsed="false">
      <c r="A43" s="11"/>
      <c r="B43" s="11"/>
      <c r="C43" s="11"/>
      <c r="D43" s="11"/>
      <c r="E43" s="11"/>
      <c r="F43" s="11"/>
      <c r="G43" s="11"/>
      <c r="H43" s="11"/>
      <c r="I43" s="11"/>
      <c r="J43" s="11"/>
      <c r="K43" s="11"/>
      <c r="L43" s="11"/>
      <c r="M43" s="11"/>
      <c r="N43" s="11"/>
      <c r="O43" s="11"/>
      <c r="P43" s="11"/>
      <c r="Q43" s="11"/>
      <c r="R43" s="11"/>
      <c r="S43" s="11"/>
      <c r="T43" s="11"/>
      <c r="U43" s="11"/>
      <c r="V43" s="12" t="str">
        <f aca="false">IF(A43="","",IF(COUNTIF($A$5:$A$154,A43)&gt;1,"DUPLICATE","UNIQUE"))</f>
        <v/>
      </c>
      <c r="W43" s="12" t="str">
        <f aca="false">IF(A43="","",IF(T43="Rejected","REJECTED",IF(AND(B43&lt;&gt;"",C43&lt;&gt;"",D43&lt;&gt;"",E43&lt;&gt;"",F43&lt;&gt;"",G43&lt;&gt;"",H43&lt;&gt;"",I43&lt;&gt;"",J43&lt;&gt;"",M43&lt;&gt;"",O43&lt;&gt;"",T43&lt;&gt;""),"COMPLETE","MISSING FIELDS")))</f>
        <v/>
      </c>
    </row>
    <row r="44" customFormat="false" ht="15" hidden="false" customHeight="true" outlineLevel="0" collapsed="false">
      <c r="A44" s="11"/>
      <c r="B44" s="11"/>
      <c r="C44" s="11"/>
      <c r="D44" s="11"/>
      <c r="E44" s="11"/>
      <c r="F44" s="11"/>
      <c r="G44" s="11"/>
      <c r="H44" s="11"/>
      <c r="I44" s="11"/>
      <c r="J44" s="11"/>
      <c r="K44" s="11"/>
      <c r="L44" s="11"/>
      <c r="M44" s="11"/>
      <c r="N44" s="11"/>
      <c r="O44" s="11"/>
      <c r="P44" s="11"/>
      <c r="Q44" s="11"/>
      <c r="R44" s="11"/>
      <c r="S44" s="11"/>
      <c r="T44" s="11"/>
      <c r="U44" s="11"/>
      <c r="V44" s="12" t="str">
        <f aca="false">IF(A44="","",IF(COUNTIF($A$5:$A$154,A44)&gt;1,"DUPLICATE","UNIQUE"))</f>
        <v/>
      </c>
      <c r="W44" s="12" t="str">
        <f aca="false">IF(A44="","",IF(T44="Rejected","REJECTED",IF(AND(B44&lt;&gt;"",C44&lt;&gt;"",D44&lt;&gt;"",E44&lt;&gt;"",F44&lt;&gt;"",G44&lt;&gt;"",H44&lt;&gt;"",I44&lt;&gt;"",J44&lt;&gt;"",M44&lt;&gt;"",O44&lt;&gt;"",T44&lt;&gt;""),"COMPLETE","MISSING FIELDS")))</f>
        <v/>
      </c>
    </row>
    <row r="45" customFormat="false" ht="15" hidden="false" customHeight="true" outlineLevel="0" collapsed="false">
      <c r="A45" s="11"/>
      <c r="B45" s="11"/>
      <c r="C45" s="11"/>
      <c r="D45" s="11"/>
      <c r="E45" s="11"/>
      <c r="F45" s="11"/>
      <c r="G45" s="11"/>
      <c r="H45" s="11"/>
      <c r="I45" s="11"/>
      <c r="J45" s="11"/>
      <c r="K45" s="11"/>
      <c r="L45" s="11"/>
      <c r="M45" s="11"/>
      <c r="N45" s="11"/>
      <c r="O45" s="11"/>
      <c r="P45" s="11"/>
      <c r="Q45" s="11"/>
      <c r="R45" s="11"/>
      <c r="S45" s="11"/>
      <c r="T45" s="11"/>
      <c r="U45" s="11"/>
      <c r="V45" s="12" t="str">
        <f aca="false">IF(A45="","",IF(COUNTIF($A$5:$A$154,A45)&gt;1,"DUPLICATE","UNIQUE"))</f>
        <v/>
      </c>
      <c r="W45" s="12" t="str">
        <f aca="false">IF(A45="","",IF(T45="Rejected","REJECTED",IF(AND(B45&lt;&gt;"",C45&lt;&gt;"",D45&lt;&gt;"",E45&lt;&gt;"",F45&lt;&gt;"",G45&lt;&gt;"",H45&lt;&gt;"",I45&lt;&gt;"",J45&lt;&gt;"",M45&lt;&gt;"",O45&lt;&gt;"",T45&lt;&gt;""),"COMPLETE","MISSING FIELDS")))</f>
        <v/>
      </c>
    </row>
    <row r="46" customFormat="false" ht="15" hidden="false" customHeight="true" outlineLevel="0" collapsed="false">
      <c r="A46" s="11"/>
      <c r="B46" s="11"/>
      <c r="C46" s="11"/>
      <c r="D46" s="11"/>
      <c r="E46" s="11"/>
      <c r="F46" s="11"/>
      <c r="G46" s="11"/>
      <c r="H46" s="11"/>
      <c r="I46" s="11"/>
      <c r="J46" s="11"/>
      <c r="K46" s="11"/>
      <c r="L46" s="11"/>
      <c r="M46" s="11"/>
      <c r="N46" s="11"/>
      <c r="O46" s="11"/>
      <c r="P46" s="11"/>
      <c r="Q46" s="11"/>
      <c r="R46" s="11"/>
      <c r="S46" s="11"/>
      <c r="T46" s="11"/>
      <c r="U46" s="11"/>
      <c r="V46" s="12" t="str">
        <f aca="false">IF(A46="","",IF(COUNTIF($A$5:$A$154,A46)&gt;1,"DUPLICATE","UNIQUE"))</f>
        <v/>
      </c>
      <c r="W46" s="12" t="str">
        <f aca="false">IF(A46="","",IF(T46="Rejected","REJECTED",IF(AND(B46&lt;&gt;"",C46&lt;&gt;"",D46&lt;&gt;"",E46&lt;&gt;"",F46&lt;&gt;"",G46&lt;&gt;"",H46&lt;&gt;"",I46&lt;&gt;"",J46&lt;&gt;"",M46&lt;&gt;"",O46&lt;&gt;"",T46&lt;&gt;""),"COMPLETE","MISSING FIELDS")))</f>
        <v/>
      </c>
    </row>
    <row r="47" customFormat="false" ht="15" hidden="false" customHeight="true" outlineLevel="0" collapsed="false">
      <c r="A47" s="11"/>
      <c r="B47" s="11"/>
      <c r="C47" s="11"/>
      <c r="D47" s="11"/>
      <c r="E47" s="11"/>
      <c r="F47" s="11"/>
      <c r="G47" s="11"/>
      <c r="H47" s="11"/>
      <c r="I47" s="11"/>
      <c r="J47" s="11"/>
      <c r="K47" s="11"/>
      <c r="L47" s="11"/>
      <c r="M47" s="11"/>
      <c r="N47" s="11"/>
      <c r="O47" s="11"/>
      <c r="P47" s="11"/>
      <c r="Q47" s="11"/>
      <c r="R47" s="11"/>
      <c r="S47" s="11"/>
      <c r="T47" s="11"/>
      <c r="U47" s="11"/>
      <c r="V47" s="12" t="str">
        <f aca="false">IF(A47="","",IF(COUNTIF($A$5:$A$154,A47)&gt;1,"DUPLICATE","UNIQUE"))</f>
        <v/>
      </c>
      <c r="W47" s="12" t="str">
        <f aca="false">IF(A47="","",IF(T47="Rejected","REJECTED",IF(AND(B47&lt;&gt;"",C47&lt;&gt;"",D47&lt;&gt;"",E47&lt;&gt;"",F47&lt;&gt;"",G47&lt;&gt;"",H47&lt;&gt;"",I47&lt;&gt;"",J47&lt;&gt;"",M47&lt;&gt;"",O47&lt;&gt;"",T47&lt;&gt;""),"COMPLETE","MISSING FIELDS")))</f>
        <v/>
      </c>
    </row>
    <row r="48" customFormat="false" ht="15" hidden="false" customHeight="true" outlineLevel="0" collapsed="false">
      <c r="A48" s="11"/>
      <c r="B48" s="11"/>
      <c r="C48" s="11"/>
      <c r="D48" s="11"/>
      <c r="E48" s="11"/>
      <c r="F48" s="11"/>
      <c r="G48" s="11"/>
      <c r="H48" s="11"/>
      <c r="I48" s="11"/>
      <c r="J48" s="11"/>
      <c r="K48" s="11"/>
      <c r="L48" s="11"/>
      <c r="M48" s="11"/>
      <c r="N48" s="11"/>
      <c r="O48" s="11"/>
      <c r="P48" s="11"/>
      <c r="Q48" s="11"/>
      <c r="R48" s="11"/>
      <c r="S48" s="11"/>
      <c r="T48" s="11"/>
      <c r="U48" s="11"/>
      <c r="V48" s="12" t="str">
        <f aca="false">IF(A48="","",IF(COUNTIF($A$5:$A$154,A48)&gt;1,"DUPLICATE","UNIQUE"))</f>
        <v/>
      </c>
      <c r="W48" s="12" t="str">
        <f aca="false">IF(A48="","",IF(T48="Rejected","REJECTED",IF(AND(B48&lt;&gt;"",C48&lt;&gt;"",D48&lt;&gt;"",E48&lt;&gt;"",F48&lt;&gt;"",G48&lt;&gt;"",H48&lt;&gt;"",I48&lt;&gt;"",J48&lt;&gt;"",M48&lt;&gt;"",O48&lt;&gt;"",T48&lt;&gt;""),"COMPLETE","MISSING FIELDS")))</f>
        <v/>
      </c>
    </row>
    <row r="49" customFormat="false" ht="15" hidden="false" customHeight="true" outlineLevel="0" collapsed="false">
      <c r="A49" s="11"/>
      <c r="B49" s="11"/>
      <c r="C49" s="11"/>
      <c r="D49" s="11"/>
      <c r="E49" s="11"/>
      <c r="F49" s="11"/>
      <c r="G49" s="11"/>
      <c r="H49" s="11"/>
      <c r="I49" s="11"/>
      <c r="J49" s="11"/>
      <c r="K49" s="11"/>
      <c r="L49" s="11"/>
      <c r="M49" s="11"/>
      <c r="N49" s="11"/>
      <c r="O49" s="11"/>
      <c r="P49" s="11"/>
      <c r="Q49" s="11"/>
      <c r="R49" s="11"/>
      <c r="S49" s="11"/>
      <c r="T49" s="11"/>
      <c r="U49" s="11"/>
      <c r="V49" s="12" t="str">
        <f aca="false">IF(A49="","",IF(COUNTIF($A$5:$A$154,A49)&gt;1,"DUPLICATE","UNIQUE"))</f>
        <v/>
      </c>
      <c r="W49" s="12" t="str">
        <f aca="false">IF(A49="","",IF(T49="Rejected","REJECTED",IF(AND(B49&lt;&gt;"",C49&lt;&gt;"",D49&lt;&gt;"",E49&lt;&gt;"",F49&lt;&gt;"",G49&lt;&gt;"",H49&lt;&gt;"",I49&lt;&gt;"",J49&lt;&gt;"",M49&lt;&gt;"",O49&lt;&gt;"",T49&lt;&gt;""),"COMPLETE","MISSING FIELDS")))</f>
        <v/>
      </c>
    </row>
    <row r="50" customFormat="false" ht="15" hidden="false" customHeight="true" outlineLevel="0" collapsed="false">
      <c r="A50" s="11"/>
      <c r="B50" s="11"/>
      <c r="C50" s="11"/>
      <c r="D50" s="11"/>
      <c r="E50" s="11"/>
      <c r="F50" s="11"/>
      <c r="G50" s="11"/>
      <c r="H50" s="11"/>
      <c r="I50" s="11"/>
      <c r="J50" s="11"/>
      <c r="K50" s="11"/>
      <c r="L50" s="11"/>
      <c r="M50" s="11"/>
      <c r="N50" s="11"/>
      <c r="O50" s="11"/>
      <c r="P50" s="11"/>
      <c r="Q50" s="11"/>
      <c r="R50" s="11"/>
      <c r="S50" s="11"/>
      <c r="T50" s="11"/>
      <c r="U50" s="11"/>
      <c r="V50" s="12" t="str">
        <f aca="false">IF(A50="","",IF(COUNTIF($A$5:$A$154,A50)&gt;1,"DUPLICATE","UNIQUE"))</f>
        <v/>
      </c>
      <c r="W50" s="12" t="str">
        <f aca="false">IF(A50="","",IF(T50="Rejected","REJECTED",IF(AND(B50&lt;&gt;"",C50&lt;&gt;"",D50&lt;&gt;"",E50&lt;&gt;"",F50&lt;&gt;"",G50&lt;&gt;"",H50&lt;&gt;"",I50&lt;&gt;"",J50&lt;&gt;"",M50&lt;&gt;"",O50&lt;&gt;"",T50&lt;&gt;""),"COMPLETE","MISSING FIELDS")))</f>
        <v/>
      </c>
    </row>
    <row r="51" customFormat="false" ht="15" hidden="false" customHeight="true" outlineLevel="0" collapsed="false">
      <c r="A51" s="11"/>
      <c r="B51" s="11"/>
      <c r="C51" s="11"/>
      <c r="D51" s="11"/>
      <c r="E51" s="11"/>
      <c r="F51" s="11"/>
      <c r="G51" s="11"/>
      <c r="H51" s="11"/>
      <c r="I51" s="11"/>
      <c r="J51" s="11"/>
      <c r="K51" s="11"/>
      <c r="L51" s="11"/>
      <c r="M51" s="11"/>
      <c r="N51" s="11"/>
      <c r="O51" s="11"/>
      <c r="P51" s="11"/>
      <c r="Q51" s="11"/>
      <c r="R51" s="11"/>
      <c r="S51" s="11"/>
      <c r="T51" s="11"/>
      <c r="U51" s="11"/>
      <c r="V51" s="12" t="str">
        <f aca="false">IF(A51="","",IF(COUNTIF($A$5:$A$154,A51)&gt;1,"DUPLICATE","UNIQUE"))</f>
        <v/>
      </c>
      <c r="W51" s="12" t="str">
        <f aca="false">IF(A51="","",IF(T51="Rejected","REJECTED",IF(AND(B51&lt;&gt;"",C51&lt;&gt;"",D51&lt;&gt;"",E51&lt;&gt;"",F51&lt;&gt;"",G51&lt;&gt;"",H51&lt;&gt;"",I51&lt;&gt;"",J51&lt;&gt;"",M51&lt;&gt;"",O51&lt;&gt;"",T51&lt;&gt;""),"COMPLETE","MISSING FIELDS")))</f>
        <v/>
      </c>
    </row>
    <row r="52" customFormat="false" ht="15" hidden="false" customHeight="true" outlineLevel="0" collapsed="false">
      <c r="A52" s="11"/>
      <c r="B52" s="11"/>
      <c r="C52" s="11"/>
      <c r="D52" s="11"/>
      <c r="E52" s="11"/>
      <c r="F52" s="11"/>
      <c r="G52" s="11"/>
      <c r="H52" s="11"/>
      <c r="I52" s="11"/>
      <c r="J52" s="11"/>
      <c r="K52" s="11"/>
      <c r="L52" s="11"/>
      <c r="M52" s="11"/>
      <c r="N52" s="11"/>
      <c r="O52" s="11"/>
      <c r="P52" s="11"/>
      <c r="Q52" s="11"/>
      <c r="R52" s="11"/>
      <c r="S52" s="11"/>
      <c r="T52" s="11"/>
      <c r="U52" s="11"/>
      <c r="V52" s="12" t="str">
        <f aca="false">IF(A52="","",IF(COUNTIF($A$5:$A$154,A52)&gt;1,"DUPLICATE","UNIQUE"))</f>
        <v/>
      </c>
      <c r="W52" s="12" t="str">
        <f aca="false">IF(A52="","",IF(T52="Rejected","REJECTED",IF(AND(B52&lt;&gt;"",C52&lt;&gt;"",D52&lt;&gt;"",E52&lt;&gt;"",F52&lt;&gt;"",G52&lt;&gt;"",H52&lt;&gt;"",I52&lt;&gt;"",J52&lt;&gt;"",M52&lt;&gt;"",O52&lt;&gt;"",T52&lt;&gt;""),"COMPLETE","MISSING FIELDS")))</f>
        <v/>
      </c>
    </row>
    <row r="53" customFormat="false" ht="15" hidden="false" customHeight="true" outlineLevel="0" collapsed="false">
      <c r="A53" s="11"/>
      <c r="B53" s="11"/>
      <c r="C53" s="11"/>
      <c r="D53" s="11"/>
      <c r="E53" s="11"/>
      <c r="F53" s="11"/>
      <c r="G53" s="11"/>
      <c r="H53" s="11"/>
      <c r="I53" s="11"/>
      <c r="J53" s="11"/>
      <c r="K53" s="11"/>
      <c r="L53" s="11"/>
      <c r="M53" s="11"/>
      <c r="N53" s="11"/>
      <c r="O53" s="11"/>
      <c r="P53" s="11"/>
      <c r="Q53" s="11"/>
      <c r="R53" s="11"/>
      <c r="S53" s="11"/>
      <c r="T53" s="11"/>
      <c r="U53" s="11"/>
      <c r="V53" s="12" t="str">
        <f aca="false">IF(A53="","",IF(COUNTIF($A$5:$A$154,A53)&gt;1,"DUPLICATE","UNIQUE"))</f>
        <v/>
      </c>
      <c r="W53" s="12" t="str">
        <f aca="false">IF(A53="","",IF(T53="Rejected","REJECTED",IF(AND(B53&lt;&gt;"",C53&lt;&gt;"",D53&lt;&gt;"",E53&lt;&gt;"",F53&lt;&gt;"",G53&lt;&gt;"",H53&lt;&gt;"",I53&lt;&gt;"",J53&lt;&gt;"",M53&lt;&gt;"",O53&lt;&gt;"",T53&lt;&gt;""),"COMPLETE","MISSING FIELDS")))</f>
        <v/>
      </c>
    </row>
    <row r="54" customFormat="false" ht="15" hidden="false" customHeight="true" outlineLevel="0" collapsed="false">
      <c r="A54" s="11"/>
      <c r="B54" s="11"/>
      <c r="C54" s="11"/>
      <c r="D54" s="11"/>
      <c r="E54" s="11"/>
      <c r="F54" s="11"/>
      <c r="G54" s="11"/>
      <c r="H54" s="11"/>
      <c r="I54" s="11"/>
      <c r="J54" s="11"/>
      <c r="K54" s="11"/>
      <c r="L54" s="11"/>
      <c r="M54" s="11"/>
      <c r="N54" s="11"/>
      <c r="O54" s="11"/>
      <c r="P54" s="11"/>
      <c r="Q54" s="11"/>
      <c r="R54" s="11"/>
      <c r="S54" s="11"/>
      <c r="T54" s="11"/>
      <c r="U54" s="11"/>
      <c r="V54" s="12" t="str">
        <f aca="false">IF(A54="","",IF(COUNTIF($A$5:$A$154,A54)&gt;1,"DUPLICATE","UNIQUE"))</f>
        <v/>
      </c>
      <c r="W54" s="12" t="str">
        <f aca="false">IF(A54="","",IF(T54="Rejected","REJECTED",IF(AND(B54&lt;&gt;"",C54&lt;&gt;"",D54&lt;&gt;"",E54&lt;&gt;"",F54&lt;&gt;"",G54&lt;&gt;"",H54&lt;&gt;"",I54&lt;&gt;"",J54&lt;&gt;"",M54&lt;&gt;"",O54&lt;&gt;"",T54&lt;&gt;""),"COMPLETE","MISSING FIELDS")))</f>
        <v/>
      </c>
    </row>
    <row r="55" customFormat="false" ht="15" hidden="false" customHeight="true" outlineLevel="0" collapsed="false">
      <c r="A55" s="11"/>
      <c r="B55" s="11"/>
      <c r="C55" s="11"/>
      <c r="D55" s="11"/>
      <c r="E55" s="11"/>
      <c r="F55" s="11"/>
      <c r="G55" s="11"/>
      <c r="H55" s="11"/>
      <c r="I55" s="11"/>
      <c r="J55" s="11"/>
      <c r="K55" s="11"/>
      <c r="L55" s="11"/>
      <c r="M55" s="11"/>
      <c r="N55" s="11"/>
      <c r="O55" s="11"/>
      <c r="P55" s="11"/>
      <c r="Q55" s="11"/>
      <c r="R55" s="11"/>
      <c r="S55" s="11"/>
      <c r="T55" s="11"/>
      <c r="U55" s="11"/>
      <c r="V55" s="12" t="str">
        <f aca="false">IF(A55="","",IF(COUNTIF($A$5:$A$154,A55)&gt;1,"DUPLICATE","UNIQUE"))</f>
        <v/>
      </c>
      <c r="W55" s="12" t="str">
        <f aca="false">IF(A55="","",IF(T55="Rejected","REJECTED",IF(AND(B55&lt;&gt;"",C55&lt;&gt;"",D55&lt;&gt;"",E55&lt;&gt;"",F55&lt;&gt;"",G55&lt;&gt;"",H55&lt;&gt;"",I55&lt;&gt;"",J55&lt;&gt;"",M55&lt;&gt;"",O55&lt;&gt;"",T55&lt;&gt;""),"COMPLETE","MISSING FIELDS")))</f>
        <v/>
      </c>
    </row>
    <row r="56" customFormat="false" ht="15" hidden="false" customHeight="true" outlineLevel="0" collapsed="false">
      <c r="A56" s="11"/>
      <c r="B56" s="11"/>
      <c r="C56" s="11"/>
      <c r="D56" s="11"/>
      <c r="E56" s="11"/>
      <c r="F56" s="11"/>
      <c r="G56" s="11"/>
      <c r="H56" s="11"/>
      <c r="I56" s="11"/>
      <c r="J56" s="11"/>
      <c r="K56" s="11"/>
      <c r="L56" s="11"/>
      <c r="M56" s="11"/>
      <c r="N56" s="11"/>
      <c r="O56" s="11"/>
      <c r="P56" s="11"/>
      <c r="Q56" s="11"/>
      <c r="R56" s="11"/>
      <c r="S56" s="11"/>
      <c r="T56" s="11"/>
      <c r="U56" s="11"/>
      <c r="V56" s="12" t="str">
        <f aca="false">IF(A56="","",IF(COUNTIF($A$5:$A$154,A56)&gt;1,"DUPLICATE","UNIQUE"))</f>
        <v/>
      </c>
      <c r="W56" s="12" t="str">
        <f aca="false">IF(A56="","",IF(T56="Rejected","REJECTED",IF(AND(B56&lt;&gt;"",C56&lt;&gt;"",D56&lt;&gt;"",E56&lt;&gt;"",F56&lt;&gt;"",G56&lt;&gt;"",H56&lt;&gt;"",I56&lt;&gt;"",J56&lt;&gt;"",M56&lt;&gt;"",O56&lt;&gt;"",T56&lt;&gt;""),"COMPLETE","MISSING FIELDS")))</f>
        <v/>
      </c>
    </row>
    <row r="57" customFormat="false" ht="15" hidden="false" customHeight="true" outlineLevel="0" collapsed="false">
      <c r="A57" s="11"/>
      <c r="B57" s="11"/>
      <c r="C57" s="11"/>
      <c r="D57" s="11"/>
      <c r="E57" s="11"/>
      <c r="F57" s="11"/>
      <c r="G57" s="11"/>
      <c r="H57" s="11"/>
      <c r="I57" s="11"/>
      <c r="J57" s="11"/>
      <c r="K57" s="11"/>
      <c r="L57" s="11"/>
      <c r="M57" s="11"/>
      <c r="N57" s="11"/>
      <c r="O57" s="11"/>
      <c r="P57" s="11"/>
      <c r="Q57" s="11"/>
      <c r="R57" s="11"/>
      <c r="S57" s="11"/>
      <c r="T57" s="11"/>
      <c r="U57" s="11"/>
      <c r="V57" s="12" t="str">
        <f aca="false">IF(A57="","",IF(COUNTIF($A$5:$A$154,A57)&gt;1,"DUPLICATE","UNIQUE"))</f>
        <v/>
      </c>
      <c r="W57" s="12" t="str">
        <f aca="false">IF(A57="","",IF(T57="Rejected","REJECTED",IF(AND(B57&lt;&gt;"",C57&lt;&gt;"",D57&lt;&gt;"",E57&lt;&gt;"",F57&lt;&gt;"",G57&lt;&gt;"",H57&lt;&gt;"",I57&lt;&gt;"",J57&lt;&gt;"",M57&lt;&gt;"",O57&lt;&gt;"",T57&lt;&gt;""),"COMPLETE","MISSING FIELDS")))</f>
        <v/>
      </c>
    </row>
    <row r="58" customFormat="false" ht="15" hidden="false" customHeight="true" outlineLevel="0" collapsed="false">
      <c r="A58" s="11"/>
      <c r="B58" s="11"/>
      <c r="C58" s="11"/>
      <c r="D58" s="11"/>
      <c r="E58" s="11"/>
      <c r="F58" s="11"/>
      <c r="G58" s="11"/>
      <c r="H58" s="11"/>
      <c r="I58" s="11"/>
      <c r="J58" s="11"/>
      <c r="K58" s="11"/>
      <c r="L58" s="11"/>
      <c r="M58" s="11"/>
      <c r="N58" s="11"/>
      <c r="O58" s="11"/>
      <c r="P58" s="11"/>
      <c r="Q58" s="11"/>
      <c r="R58" s="11"/>
      <c r="S58" s="11"/>
      <c r="T58" s="11"/>
      <c r="U58" s="11"/>
      <c r="V58" s="12" t="str">
        <f aca="false">IF(A58="","",IF(COUNTIF($A$5:$A$154,A58)&gt;1,"DUPLICATE","UNIQUE"))</f>
        <v/>
      </c>
      <c r="W58" s="12" t="str">
        <f aca="false">IF(A58="","",IF(T58="Rejected","REJECTED",IF(AND(B58&lt;&gt;"",C58&lt;&gt;"",D58&lt;&gt;"",E58&lt;&gt;"",F58&lt;&gt;"",G58&lt;&gt;"",H58&lt;&gt;"",I58&lt;&gt;"",J58&lt;&gt;"",M58&lt;&gt;"",O58&lt;&gt;"",T58&lt;&gt;""),"COMPLETE","MISSING FIELDS")))</f>
        <v/>
      </c>
    </row>
    <row r="59" customFormat="false" ht="15" hidden="false" customHeight="true" outlineLevel="0" collapsed="false">
      <c r="A59" s="11"/>
      <c r="B59" s="11"/>
      <c r="C59" s="11"/>
      <c r="D59" s="11"/>
      <c r="E59" s="11"/>
      <c r="F59" s="11"/>
      <c r="G59" s="11"/>
      <c r="H59" s="11"/>
      <c r="I59" s="11"/>
      <c r="J59" s="11"/>
      <c r="K59" s="11"/>
      <c r="L59" s="11"/>
      <c r="M59" s="11"/>
      <c r="N59" s="11"/>
      <c r="O59" s="11"/>
      <c r="P59" s="11"/>
      <c r="Q59" s="11"/>
      <c r="R59" s="11"/>
      <c r="S59" s="11"/>
      <c r="T59" s="11"/>
      <c r="U59" s="11"/>
      <c r="V59" s="12" t="str">
        <f aca="false">IF(A59="","",IF(COUNTIF($A$5:$A$154,A59)&gt;1,"DUPLICATE","UNIQUE"))</f>
        <v/>
      </c>
      <c r="W59" s="12" t="str">
        <f aca="false">IF(A59="","",IF(T59="Rejected","REJECTED",IF(AND(B59&lt;&gt;"",C59&lt;&gt;"",D59&lt;&gt;"",E59&lt;&gt;"",F59&lt;&gt;"",G59&lt;&gt;"",H59&lt;&gt;"",I59&lt;&gt;"",J59&lt;&gt;"",M59&lt;&gt;"",O59&lt;&gt;"",T59&lt;&gt;""),"COMPLETE","MISSING FIELDS")))</f>
        <v/>
      </c>
    </row>
    <row r="60" customFormat="false" ht="15" hidden="false" customHeight="true" outlineLevel="0" collapsed="false">
      <c r="A60" s="11"/>
      <c r="B60" s="11"/>
      <c r="C60" s="11"/>
      <c r="D60" s="11"/>
      <c r="E60" s="11"/>
      <c r="F60" s="11"/>
      <c r="G60" s="11"/>
      <c r="H60" s="11"/>
      <c r="I60" s="11"/>
      <c r="J60" s="11"/>
      <c r="K60" s="11"/>
      <c r="L60" s="11"/>
      <c r="M60" s="11"/>
      <c r="N60" s="11"/>
      <c r="O60" s="11"/>
      <c r="P60" s="11"/>
      <c r="Q60" s="11"/>
      <c r="R60" s="11"/>
      <c r="S60" s="11"/>
      <c r="T60" s="11"/>
      <c r="U60" s="11"/>
      <c r="V60" s="12" t="str">
        <f aca="false">IF(A60="","",IF(COUNTIF($A$5:$A$154,A60)&gt;1,"DUPLICATE","UNIQUE"))</f>
        <v/>
      </c>
      <c r="W60" s="12" t="str">
        <f aca="false">IF(A60="","",IF(T60="Rejected","REJECTED",IF(AND(B60&lt;&gt;"",C60&lt;&gt;"",D60&lt;&gt;"",E60&lt;&gt;"",F60&lt;&gt;"",G60&lt;&gt;"",H60&lt;&gt;"",I60&lt;&gt;"",J60&lt;&gt;"",M60&lt;&gt;"",O60&lt;&gt;"",T60&lt;&gt;""),"COMPLETE","MISSING FIELDS")))</f>
        <v/>
      </c>
    </row>
    <row r="61" customFormat="false" ht="15" hidden="false" customHeight="true" outlineLevel="0" collapsed="false">
      <c r="A61" s="11"/>
      <c r="B61" s="11"/>
      <c r="C61" s="11"/>
      <c r="D61" s="11"/>
      <c r="E61" s="11"/>
      <c r="F61" s="11"/>
      <c r="G61" s="11"/>
      <c r="H61" s="11"/>
      <c r="I61" s="11"/>
      <c r="J61" s="11"/>
      <c r="K61" s="11"/>
      <c r="L61" s="11"/>
      <c r="M61" s="11"/>
      <c r="N61" s="11"/>
      <c r="O61" s="11"/>
      <c r="P61" s="11"/>
      <c r="Q61" s="11"/>
      <c r="R61" s="11"/>
      <c r="S61" s="11"/>
      <c r="T61" s="11"/>
      <c r="U61" s="11"/>
      <c r="V61" s="12" t="str">
        <f aca="false">IF(A61="","",IF(COUNTIF($A$5:$A$154,A61)&gt;1,"DUPLICATE","UNIQUE"))</f>
        <v/>
      </c>
      <c r="W61" s="12" t="str">
        <f aca="false">IF(A61="","",IF(T61="Rejected","REJECTED",IF(AND(B61&lt;&gt;"",C61&lt;&gt;"",D61&lt;&gt;"",E61&lt;&gt;"",F61&lt;&gt;"",G61&lt;&gt;"",H61&lt;&gt;"",I61&lt;&gt;"",J61&lt;&gt;"",M61&lt;&gt;"",O61&lt;&gt;"",T61&lt;&gt;""),"COMPLETE","MISSING FIELDS")))</f>
        <v/>
      </c>
    </row>
    <row r="62" customFormat="false" ht="15" hidden="false" customHeight="true" outlineLevel="0" collapsed="false">
      <c r="A62" s="11"/>
      <c r="B62" s="11"/>
      <c r="C62" s="11"/>
      <c r="D62" s="11"/>
      <c r="E62" s="11"/>
      <c r="F62" s="11"/>
      <c r="G62" s="11"/>
      <c r="H62" s="11"/>
      <c r="I62" s="11"/>
      <c r="J62" s="11"/>
      <c r="K62" s="11"/>
      <c r="L62" s="11"/>
      <c r="M62" s="11"/>
      <c r="N62" s="11"/>
      <c r="O62" s="11"/>
      <c r="P62" s="11"/>
      <c r="Q62" s="11"/>
      <c r="R62" s="11"/>
      <c r="S62" s="11"/>
      <c r="T62" s="11"/>
      <c r="U62" s="11"/>
      <c r="V62" s="12" t="str">
        <f aca="false">IF(A62="","",IF(COUNTIF($A$5:$A$154,A62)&gt;1,"DUPLICATE","UNIQUE"))</f>
        <v/>
      </c>
      <c r="W62" s="12" t="str">
        <f aca="false">IF(A62="","",IF(T62="Rejected","REJECTED",IF(AND(B62&lt;&gt;"",C62&lt;&gt;"",D62&lt;&gt;"",E62&lt;&gt;"",F62&lt;&gt;"",G62&lt;&gt;"",H62&lt;&gt;"",I62&lt;&gt;"",J62&lt;&gt;"",M62&lt;&gt;"",O62&lt;&gt;"",T62&lt;&gt;""),"COMPLETE","MISSING FIELDS")))</f>
        <v/>
      </c>
    </row>
    <row r="63" customFormat="false" ht="15" hidden="false" customHeight="true" outlineLevel="0" collapsed="false">
      <c r="A63" s="11"/>
      <c r="B63" s="11"/>
      <c r="C63" s="11"/>
      <c r="D63" s="11"/>
      <c r="E63" s="11"/>
      <c r="F63" s="11"/>
      <c r="G63" s="11"/>
      <c r="H63" s="11"/>
      <c r="I63" s="11"/>
      <c r="J63" s="11"/>
      <c r="K63" s="11"/>
      <c r="L63" s="11"/>
      <c r="M63" s="11"/>
      <c r="N63" s="11"/>
      <c r="O63" s="11"/>
      <c r="P63" s="11"/>
      <c r="Q63" s="11"/>
      <c r="R63" s="11"/>
      <c r="S63" s="11"/>
      <c r="T63" s="11"/>
      <c r="U63" s="11"/>
      <c r="V63" s="12" t="str">
        <f aca="false">IF(A63="","",IF(COUNTIF($A$5:$A$154,A63)&gt;1,"DUPLICATE","UNIQUE"))</f>
        <v/>
      </c>
      <c r="W63" s="12" t="str">
        <f aca="false">IF(A63="","",IF(T63="Rejected","REJECTED",IF(AND(B63&lt;&gt;"",C63&lt;&gt;"",D63&lt;&gt;"",E63&lt;&gt;"",F63&lt;&gt;"",G63&lt;&gt;"",H63&lt;&gt;"",I63&lt;&gt;"",J63&lt;&gt;"",M63&lt;&gt;"",O63&lt;&gt;"",T63&lt;&gt;""),"COMPLETE","MISSING FIELDS")))</f>
        <v/>
      </c>
    </row>
    <row r="64" customFormat="false" ht="15" hidden="false" customHeight="true" outlineLevel="0" collapsed="false">
      <c r="A64" s="11"/>
      <c r="B64" s="11"/>
      <c r="C64" s="11"/>
      <c r="D64" s="11"/>
      <c r="E64" s="11"/>
      <c r="F64" s="11"/>
      <c r="G64" s="11"/>
      <c r="H64" s="11"/>
      <c r="I64" s="11"/>
      <c r="J64" s="11"/>
      <c r="K64" s="11"/>
      <c r="L64" s="11"/>
      <c r="M64" s="11"/>
      <c r="N64" s="11"/>
      <c r="O64" s="11"/>
      <c r="P64" s="11"/>
      <c r="Q64" s="11"/>
      <c r="R64" s="11"/>
      <c r="S64" s="11"/>
      <c r="T64" s="11"/>
      <c r="U64" s="11"/>
      <c r="V64" s="12" t="str">
        <f aca="false">IF(A64="","",IF(COUNTIF($A$5:$A$154,A64)&gt;1,"DUPLICATE","UNIQUE"))</f>
        <v/>
      </c>
      <c r="W64" s="12" t="str">
        <f aca="false">IF(A64="","",IF(T64="Rejected","REJECTED",IF(AND(B64&lt;&gt;"",C64&lt;&gt;"",D64&lt;&gt;"",E64&lt;&gt;"",F64&lt;&gt;"",G64&lt;&gt;"",H64&lt;&gt;"",I64&lt;&gt;"",J64&lt;&gt;"",M64&lt;&gt;"",O64&lt;&gt;"",T64&lt;&gt;""),"COMPLETE","MISSING FIELDS")))</f>
        <v/>
      </c>
    </row>
    <row r="65" customFormat="false" ht="15" hidden="false" customHeight="true" outlineLevel="0" collapsed="false">
      <c r="A65" s="11"/>
      <c r="B65" s="11"/>
      <c r="C65" s="11"/>
      <c r="D65" s="11"/>
      <c r="E65" s="11"/>
      <c r="F65" s="11"/>
      <c r="G65" s="11"/>
      <c r="H65" s="11"/>
      <c r="I65" s="11"/>
      <c r="J65" s="11"/>
      <c r="K65" s="11"/>
      <c r="L65" s="11"/>
      <c r="M65" s="11"/>
      <c r="N65" s="11"/>
      <c r="O65" s="11"/>
      <c r="P65" s="11"/>
      <c r="Q65" s="11"/>
      <c r="R65" s="11"/>
      <c r="S65" s="11"/>
      <c r="T65" s="11"/>
      <c r="U65" s="11"/>
      <c r="V65" s="12" t="str">
        <f aca="false">IF(A65="","",IF(COUNTIF($A$5:$A$154,A65)&gt;1,"DUPLICATE","UNIQUE"))</f>
        <v/>
      </c>
      <c r="W65" s="12" t="str">
        <f aca="false">IF(A65="","",IF(T65="Rejected","REJECTED",IF(AND(B65&lt;&gt;"",C65&lt;&gt;"",D65&lt;&gt;"",E65&lt;&gt;"",F65&lt;&gt;"",G65&lt;&gt;"",H65&lt;&gt;"",I65&lt;&gt;"",J65&lt;&gt;"",M65&lt;&gt;"",O65&lt;&gt;"",T65&lt;&gt;""),"COMPLETE","MISSING FIELDS")))</f>
        <v/>
      </c>
    </row>
    <row r="66" customFormat="false" ht="15" hidden="false" customHeight="true" outlineLevel="0" collapsed="false">
      <c r="A66" s="11"/>
      <c r="B66" s="11"/>
      <c r="C66" s="11"/>
      <c r="D66" s="11"/>
      <c r="E66" s="11"/>
      <c r="F66" s="11"/>
      <c r="G66" s="11"/>
      <c r="H66" s="11"/>
      <c r="I66" s="11"/>
      <c r="J66" s="11"/>
      <c r="K66" s="11"/>
      <c r="L66" s="11"/>
      <c r="M66" s="11"/>
      <c r="N66" s="11"/>
      <c r="O66" s="11"/>
      <c r="P66" s="11"/>
      <c r="Q66" s="11"/>
      <c r="R66" s="11"/>
      <c r="S66" s="11"/>
      <c r="T66" s="11"/>
      <c r="U66" s="11"/>
      <c r="V66" s="12" t="str">
        <f aca="false">IF(A66="","",IF(COUNTIF($A$5:$A$154,A66)&gt;1,"DUPLICATE","UNIQUE"))</f>
        <v/>
      </c>
      <c r="W66" s="12" t="str">
        <f aca="false">IF(A66="","",IF(T66="Rejected","REJECTED",IF(AND(B66&lt;&gt;"",C66&lt;&gt;"",D66&lt;&gt;"",E66&lt;&gt;"",F66&lt;&gt;"",G66&lt;&gt;"",H66&lt;&gt;"",I66&lt;&gt;"",J66&lt;&gt;"",M66&lt;&gt;"",O66&lt;&gt;"",T66&lt;&gt;""),"COMPLETE","MISSING FIELDS")))</f>
        <v/>
      </c>
    </row>
    <row r="67" customFormat="false" ht="15" hidden="false" customHeight="true" outlineLevel="0" collapsed="false">
      <c r="A67" s="11"/>
      <c r="B67" s="11"/>
      <c r="C67" s="11"/>
      <c r="D67" s="11"/>
      <c r="E67" s="11"/>
      <c r="F67" s="11"/>
      <c r="G67" s="11"/>
      <c r="H67" s="11"/>
      <c r="I67" s="11"/>
      <c r="J67" s="11"/>
      <c r="K67" s="11"/>
      <c r="L67" s="11"/>
      <c r="M67" s="11"/>
      <c r="N67" s="11"/>
      <c r="O67" s="11"/>
      <c r="P67" s="11"/>
      <c r="Q67" s="11"/>
      <c r="R67" s="11"/>
      <c r="S67" s="11"/>
      <c r="T67" s="11"/>
      <c r="U67" s="11"/>
      <c r="V67" s="12" t="str">
        <f aca="false">IF(A67="","",IF(COUNTIF($A$5:$A$154,A67)&gt;1,"DUPLICATE","UNIQUE"))</f>
        <v/>
      </c>
      <c r="W67" s="12" t="str">
        <f aca="false">IF(A67="","",IF(T67="Rejected","REJECTED",IF(AND(B67&lt;&gt;"",C67&lt;&gt;"",D67&lt;&gt;"",E67&lt;&gt;"",F67&lt;&gt;"",G67&lt;&gt;"",H67&lt;&gt;"",I67&lt;&gt;"",J67&lt;&gt;"",M67&lt;&gt;"",O67&lt;&gt;"",T67&lt;&gt;""),"COMPLETE","MISSING FIELDS")))</f>
        <v/>
      </c>
    </row>
    <row r="68" customFormat="false" ht="15" hidden="false" customHeight="true" outlineLevel="0" collapsed="false">
      <c r="A68" s="11"/>
      <c r="B68" s="11"/>
      <c r="C68" s="11"/>
      <c r="D68" s="11"/>
      <c r="E68" s="11"/>
      <c r="F68" s="11"/>
      <c r="G68" s="11"/>
      <c r="H68" s="11"/>
      <c r="I68" s="11"/>
      <c r="J68" s="11"/>
      <c r="K68" s="11"/>
      <c r="L68" s="11"/>
      <c r="M68" s="11"/>
      <c r="N68" s="11"/>
      <c r="O68" s="11"/>
      <c r="P68" s="11"/>
      <c r="Q68" s="11"/>
      <c r="R68" s="11"/>
      <c r="S68" s="11"/>
      <c r="T68" s="11"/>
      <c r="U68" s="11"/>
      <c r="V68" s="12" t="str">
        <f aca="false">IF(A68="","",IF(COUNTIF($A$5:$A$154,A68)&gt;1,"DUPLICATE","UNIQUE"))</f>
        <v/>
      </c>
      <c r="W68" s="12" t="str">
        <f aca="false">IF(A68="","",IF(T68="Rejected","REJECTED",IF(AND(B68&lt;&gt;"",C68&lt;&gt;"",D68&lt;&gt;"",E68&lt;&gt;"",F68&lt;&gt;"",G68&lt;&gt;"",H68&lt;&gt;"",I68&lt;&gt;"",J68&lt;&gt;"",M68&lt;&gt;"",O68&lt;&gt;"",T68&lt;&gt;""),"COMPLETE","MISSING FIELDS")))</f>
        <v/>
      </c>
    </row>
    <row r="69" customFormat="false" ht="15" hidden="false" customHeight="true" outlineLevel="0" collapsed="false">
      <c r="A69" s="11"/>
      <c r="B69" s="11"/>
      <c r="C69" s="11"/>
      <c r="D69" s="11"/>
      <c r="E69" s="11"/>
      <c r="F69" s="11"/>
      <c r="G69" s="11"/>
      <c r="H69" s="11"/>
      <c r="I69" s="11"/>
      <c r="J69" s="11"/>
      <c r="K69" s="11"/>
      <c r="L69" s="11"/>
      <c r="M69" s="11"/>
      <c r="N69" s="11"/>
      <c r="O69" s="11"/>
      <c r="P69" s="11"/>
      <c r="Q69" s="11"/>
      <c r="R69" s="11"/>
      <c r="S69" s="11"/>
      <c r="T69" s="11"/>
      <c r="U69" s="11"/>
      <c r="V69" s="12" t="str">
        <f aca="false">IF(A69="","",IF(COUNTIF($A$5:$A$154,A69)&gt;1,"DUPLICATE","UNIQUE"))</f>
        <v/>
      </c>
      <c r="W69" s="12" t="str">
        <f aca="false">IF(A69="","",IF(T69="Rejected","REJECTED",IF(AND(B69&lt;&gt;"",C69&lt;&gt;"",D69&lt;&gt;"",E69&lt;&gt;"",F69&lt;&gt;"",G69&lt;&gt;"",H69&lt;&gt;"",I69&lt;&gt;"",J69&lt;&gt;"",M69&lt;&gt;"",O69&lt;&gt;"",T69&lt;&gt;""),"COMPLETE","MISSING FIELDS")))</f>
        <v/>
      </c>
    </row>
    <row r="70" customFormat="false" ht="15" hidden="false" customHeight="true" outlineLevel="0" collapsed="false">
      <c r="A70" s="11"/>
      <c r="B70" s="11"/>
      <c r="C70" s="11"/>
      <c r="D70" s="11"/>
      <c r="E70" s="11"/>
      <c r="F70" s="11"/>
      <c r="G70" s="11"/>
      <c r="H70" s="11"/>
      <c r="I70" s="11"/>
      <c r="J70" s="11"/>
      <c r="K70" s="11"/>
      <c r="L70" s="11"/>
      <c r="M70" s="11"/>
      <c r="N70" s="11"/>
      <c r="O70" s="11"/>
      <c r="P70" s="11"/>
      <c r="Q70" s="11"/>
      <c r="R70" s="11"/>
      <c r="S70" s="11"/>
      <c r="T70" s="11"/>
      <c r="U70" s="11"/>
      <c r="V70" s="12" t="str">
        <f aca="false">IF(A70="","",IF(COUNTIF($A$5:$A$154,A70)&gt;1,"DUPLICATE","UNIQUE"))</f>
        <v/>
      </c>
      <c r="W70" s="12" t="str">
        <f aca="false">IF(A70="","",IF(T70="Rejected","REJECTED",IF(AND(B70&lt;&gt;"",C70&lt;&gt;"",D70&lt;&gt;"",E70&lt;&gt;"",F70&lt;&gt;"",G70&lt;&gt;"",H70&lt;&gt;"",I70&lt;&gt;"",J70&lt;&gt;"",M70&lt;&gt;"",O70&lt;&gt;"",T70&lt;&gt;""),"COMPLETE","MISSING FIELDS")))</f>
        <v/>
      </c>
    </row>
    <row r="71" customFormat="false" ht="15" hidden="false" customHeight="true" outlineLevel="0" collapsed="false">
      <c r="A71" s="11"/>
      <c r="B71" s="11"/>
      <c r="C71" s="11"/>
      <c r="D71" s="11"/>
      <c r="E71" s="11"/>
      <c r="F71" s="11"/>
      <c r="G71" s="11"/>
      <c r="H71" s="11"/>
      <c r="I71" s="11"/>
      <c r="J71" s="11"/>
      <c r="K71" s="11"/>
      <c r="L71" s="11"/>
      <c r="M71" s="11"/>
      <c r="N71" s="11"/>
      <c r="O71" s="11"/>
      <c r="P71" s="11"/>
      <c r="Q71" s="11"/>
      <c r="R71" s="11"/>
      <c r="S71" s="11"/>
      <c r="T71" s="11"/>
      <c r="U71" s="11"/>
      <c r="V71" s="12" t="str">
        <f aca="false">IF(A71="","",IF(COUNTIF($A$5:$A$154,A71)&gt;1,"DUPLICATE","UNIQUE"))</f>
        <v/>
      </c>
      <c r="W71" s="12" t="str">
        <f aca="false">IF(A71="","",IF(T71="Rejected","REJECTED",IF(AND(B71&lt;&gt;"",C71&lt;&gt;"",D71&lt;&gt;"",E71&lt;&gt;"",F71&lt;&gt;"",G71&lt;&gt;"",H71&lt;&gt;"",I71&lt;&gt;"",J71&lt;&gt;"",M71&lt;&gt;"",O71&lt;&gt;"",T71&lt;&gt;""),"COMPLETE","MISSING FIELDS")))</f>
        <v/>
      </c>
    </row>
    <row r="72" customFormat="false" ht="15" hidden="false" customHeight="true" outlineLevel="0" collapsed="false">
      <c r="A72" s="11"/>
      <c r="B72" s="11"/>
      <c r="C72" s="11"/>
      <c r="D72" s="11"/>
      <c r="E72" s="11"/>
      <c r="F72" s="11"/>
      <c r="G72" s="11"/>
      <c r="H72" s="11"/>
      <c r="I72" s="11"/>
      <c r="J72" s="11"/>
      <c r="K72" s="11"/>
      <c r="L72" s="11"/>
      <c r="M72" s="11"/>
      <c r="N72" s="11"/>
      <c r="O72" s="11"/>
      <c r="P72" s="11"/>
      <c r="Q72" s="11"/>
      <c r="R72" s="11"/>
      <c r="S72" s="11"/>
      <c r="T72" s="11"/>
      <c r="U72" s="11"/>
      <c r="V72" s="12" t="str">
        <f aca="false">IF(A72="","",IF(COUNTIF($A$5:$A$154,A72)&gt;1,"DUPLICATE","UNIQUE"))</f>
        <v/>
      </c>
      <c r="W72" s="12" t="str">
        <f aca="false">IF(A72="","",IF(T72="Rejected","REJECTED",IF(AND(B72&lt;&gt;"",C72&lt;&gt;"",D72&lt;&gt;"",E72&lt;&gt;"",F72&lt;&gt;"",G72&lt;&gt;"",H72&lt;&gt;"",I72&lt;&gt;"",J72&lt;&gt;"",M72&lt;&gt;"",O72&lt;&gt;"",T72&lt;&gt;""),"COMPLETE","MISSING FIELDS")))</f>
        <v/>
      </c>
    </row>
    <row r="73" customFormat="false" ht="15" hidden="false" customHeight="true" outlineLevel="0" collapsed="false">
      <c r="A73" s="11"/>
      <c r="B73" s="11"/>
      <c r="C73" s="11"/>
      <c r="D73" s="11"/>
      <c r="E73" s="11"/>
      <c r="F73" s="11"/>
      <c r="G73" s="11"/>
      <c r="H73" s="11"/>
      <c r="I73" s="11"/>
      <c r="J73" s="11"/>
      <c r="K73" s="11"/>
      <c r="L73" s="11"/>
      <c r="M73" s="11"/>
      <c r="N73" s="11"/>
      <c r="O73" s="11"/>
      <c r="P73" s="11"/>
      <c r="Q73" s="11"/>
      <c r="R73" s="11"/>
      <c r="S73" s="11"/>
      <c r="T73" s="11"/>
      <c r="U73" s="11"/>
      <c r="V73" s="12" t="str">
        <f aca="false">IF(A73="","",IF(COUNTIF($A$5:$A$154,A73)&gt;1,"DUPLICATE","UNIQUE"))</f>
        <v/>
      </c>
      <c r="W73" s="12" t="str">
        <f aca="false">IF(A73="","",IF(T73="Rejected","REJECTED",IF(AND(B73&lt;&gt;"",C73&lt;&gt;"",D73&lt;&gt;"",E73&lt;&gt;"",F73&lt;&gt;"",G73&lt;&gt;"",H73&lt;&gt;"",I73&lt;&gt;"",J73&lt;&gt;"",M73&lt;&gt;"",O73&lt;&gt;"",T73&lt;&gt;""),"COMPLETE","MISSING FIELDS")))</f>
        <v/>
      </c>
    </row>
    <row r="74" customFormat="false" ht="15" hidden="false" customHeight="true" outlineLevel="0" collapsed="false">
      <c r="A74" s="11"/>
      <c r="B74" s="11"/>
      <c r="C74" s="11"/>
      <c r="D74" s="11"/>
      <c r="E74" s="11"/>
      <c r="F74" s="11"/>
      <c r="G74" s="11"/>
      <c r="H74" s="11"/>
      <c r="I74" s="11"/>
      <c r="J74" s="11"/>
      <c r="K74" s="11"/>
      <c r="L74" s="11"/>
      <c r="M74" s="11"/>
      <c r="N74" s="11"/>
      <c r="O74" s="11"/>
      <c r="P74" s="11"/>
      <c r="Q74" s="11"/>
      <c r="R74" s="11"/>
      <c r="S74" s="11"/>
      <c r="T74" s="11"/>
      <c r="U74" s="11"/>
      <c r="V74" s="12" t="str">
        <f aca="false">IF(A74="","",IF(COUNTIF($A$5:$A$154,A74)&gt;1,"DUPLICATE","UNIQUE"))</f>
        <v/>
      </c>
      <c r="W74" s="12" t="str">
        <f aca="false">IF(A74="","",IF(T74="Rejected","REJECTED",IF(AND(B74&lt;&gt;"",C74&lt;&gt;"",D74&lt;&gt;"",E74&lt;&gt;"",F74&lt;&gt;"",G74&lt;&gt;"",H74&lt;&gt;"",I74&lt;&gt;"",J74&lt;&gt;"",M74&lt;&gt;"",O74&lt;&gt;"",T74&lt;&gt;""),"COMPLETE","MISSING FIELDS")))</f>
        <v/>
      </c>
    </row>
    <row r="75" customFormat="false" ht="15" hidden="false" customHeight="true" outlineLevel="0" collapsed="false">
      <c r="A75" s="11"/>
      <c r="B75" s="11"/>
      <c r="C75" s="11"/>
      <c r="D75" s="11"/>
      <c r="E75" s="11"/>
      <c r="F75" s="11"/>
      <c r="G75" s="11"/>
      <c r="H75" s="11"/>
      <c r="I75" s="11"/>
      <c r="J75" s="11"/>
      <c r="K75" s="11"/>
      <c r="L75" s="11"/>
      <c r="M75" s="11"/>
      <c r="N75" s="11"/>
      <c r="O75" s="11"/>
      <c r="P75" s="11"/>
      <c r="Q75" s="11"/>
      <c r="R75" s="11"/>
      <c r="S75" s="11"/>
      <c r="T75" s="11"/>
      <c r="U75" s="11"/>
      <c r="V75" s="12" t="str">
        <f aca="false">IF(A75="","",IF(COUNTIF($A$5:$A$154,A75)&gt;1,"DUPLICATE","UNIQUE"))</f>
        <v/>
      </c>
      <c r="W75" s="12" t="str">
        <f aca="false">IF(A75="","",IF(T75="Rejected","REJECTED",IF(AND(B75&lt;&gt;"",C75&lt;&gt;"",D75&lt;&gt;"",E75&lt;&gt;"",F75&lt;&gt;"",G75&lt;&gt;"",H75&lt;&gt;"",I75&lt;&gt;"",J75&lt;&gt;"",M75&lt;&gt;"",O75&lt;&gt;"",T75&lt;&gt;""),"COMPLETE","MISSING FIELDS")))</f>
        <v/>
      </c>
    </row>
    <row r="76" customFormat="false" ht="15" hidden="false" customHeight="true" outlineLevel="0" collapsed="false">
      <c r="A76" s="11"/>
      <c r="B76" s="11"/>
      <c r="C76" s="11"/>
      <c r="D76" s="11"/>
      <c r="E76" s="11"/>
      <c r="F76" s="11"/>
      <c r="G76" s="11"/>
      <c r="H76" s="11"/>
      <c r="I76" s="11"/>
      <c r="J76" s="11"/>
      <c r="K76" s="11"/>
      <c r="L76" s="11"/>
      <c r="M76" s="11"/>
      <c r="N76" s="11"/>
      <c r="O76" s="11"/>
      <c r="P76" s="11"/>
      <c r="Q76" s="11"/>
      <c r="R76" s="11"/>
      <c r="S76" s="11"/>
      <c r="T76" s="11"/>
      <c r="U76" s="11"/>
      <c r="V76" s="12" t="str">
        <f aca="false">IF(A76="","",IF(COUNTIF($A$5:$A$154,A76)&gt;1,"DUPLICATE","UNIQUE"))</f>
        <v/>
      </c>
      <c r="W76" s="12" t="str">
        <f aca="false">IF(A76="","",IF(T76="Rejected","REJECTED",IF(AND(B76&lt;&gt;"",C76&lt;&gt;"",D76&lt;&gt;"",E76&lt;&gt;"",F76&lt;&gt;"",G76&lt;&gt;"",H76&lt;&gt;"",I76&lt;&gt;"",J76&lt;&gt;"",M76&lt;&gt;"",O76&lt;&gt;"",T76&lt;&gt;""),"COMPLETE","MISSING FIELDS")))</f>
        <v/>
      </c>
    </row>
    <row r="77" customFormat="false" ht="15" hidden="false" customHeight="true" outlineLevel="0" collapsed="false">
      <c r="A77" s="11"/>
      <c r="B77" s="11"/>
      <c r="C77" s="11"/>
      <c r="D77" s="11"/>
      <c r="E77" s="11"/>
      <c r="F77" s="11"/>
      <c r="G77" s="11"/>
      <c r="H77" s="11"/>
      <c r="I77" s="11"/>
      <c r="J77" s="11"/>
      <c r="K77" s="11"/>
      <c r="L77" s="11"/>
      <c r="M77" s="11"/>
      <c r="N77" s="11"/>
      <c r="O77" s="11"/>
      <c r="P77" s="11"/>
      <c r="Q77" s="11"/>
      <c r="R77" s="11"/>
      <c r="S77" s="11"/>
      <c r="T77" s="11"/>
      <c r="U77" s="11"/>
      <c r="V77" s="12" t="str">
        <f aca="false">IF(A77="","",IF(COUNTIF($A$5:$A$154,A77)&gt;1,"DUPLICATE","UNIQUE"))</f>
        <v/>
      </c>
      <c r="W77" s="12" t="str">
        <f aca="false">IF(A77="","",IF(T77="Rejected","REJECTED",IF(AND(B77&lt;&gt;"",C77&lt;&gt;"",D77&lt;&gt;"",E77&lt;&gt;"",F77&lt;&gt;"",G77&lt;&gt;"",H77&lt;&gt;"",I77&lt;&gt;"",J77&lt;&gt;"",M77&lt;&gt;"",O77&lt;&gt;"",T77&lt;&gt;""),"COMPLETE","MISSING FIELDS")))</f>
        <v/>
      </c>
    </row>
    <row r="78" customFormat="false" ht="15" hidden="false" customHeight="true" outlineLevel="0" collapsed="false">
      <c r="A78" s="11"/>
      <c r="B78" s="11"/>
      <c r="C78" s="11"/>
      <c r="D78" s="11"/>
      <c r="E78" s="11"/>
      <c r="F78" s="11"/>
      <c r="G78" s="11"/>
      <c r="H78" s="11"/>
      <c r="I78" s="11"/>
      <c r="J78" s="11"/>
      <c r="K78" s="11"/>
      <c r="L78" s="11"/>
      <c r="M78" s="11"/>
      <c r="N78" s="11"/>
      <c r="O78" s="11"/>
      <c r="P78" s="11"/>
      <c r="Q78" s="11"/>
      <c r="R78" s="11"/>
      <c r="S78" s="11"/>
      <c r="T78" s="11"/>
      <c r="U78" s="11"/>
      <c r="V78" s="12" t="str">
        <f aca="false">IF(A78="","",IF(COUNTIF($A$5:$A$154,A78)&gt;1,"DUPLICATE","UNIQUE"))</f>
        <v/>
      </c>
      <c r="W78" s="12" t="str">
        <f aca="false">IF(A78="","",IF(T78="Rejected","REJECTED",IF(AND(B78&lt;&gt;"",C78&lt;&gt;"",D78&lt;&gt;"",E78&lt;&gt;"",F78&lt;&gt;"",G78&lt;&gt;"",H78&lt;&gt;"",I78&lt;&gt;"",J78&lt;&gt;"",M78&lt;&gt;"",O78&lt;&gt;"",T78&lt;&gt;""),"COMPLETE","MISSING FIELDS")))</f>
        <v/>
      </c>
    </row>
    <row r="79" customFormat="false" ht="15" hidden="false" customHeight="true" outlineLevel="0" collapsed="false">
      <c r="A79" s="11"/>
      <c r="B79" s="11"/>
      <c r="C79" s="11"/>
      <c r="D79" s="11"/>
      <c r="E79" s="11"/>
      <c r="F79" s="11"/>
      <c r="G79" s="11"/>
      <c r="H79" s="11"/>
      <c r="I79" s="11"/>
      <c r="J79" s="11"/>
      <c r="K79" s="11"/>
      <c r="L79" s="11"/>
      <c r="M79" s="11"/>
      <c r="N79" s="11"/>
      <c r="O79" s="11"/>
      <c r="P79" s="11"/>
      <c r="Q79" s="11"/>
      <c r="R79" s="11"/>
      <c r="S79" s="11"/>
      <c r="T79" s="11"/>
      <c r="U79" s="11"/>
      <c r="V79" s="12" t="str">
        <f aca="false">IF(A79="","",IF(COUNTIF($A$5:$A$154,A79)&gt;1,"DUPLICATE","UNIQUE"))</f>
        <v/>
      </c>
      <c r="W79" s="12" t="str">
        <f aca="false">IF(A79="","",IF(T79="Rejected","REJECTED",IF(AND(B79&lt;&gt;"",C79&lt;&gt;"",D79&lt;&gt;"",E79&lt;&gt;"",F79&lt;&gt;"",G79&lt;&gt;"",H79&lt;&gt;"",I79&lt;&gt;"",J79&lt;&gt;"",M79&lt;&gt;"",O79&lt;&gt;"",T79&lt;&gt;""),"COMPLETE","MISSING FIELDS")))</f>
        <v/>
      </c>
    </row>
    <row r="80" customFormat="false" ht="15" hidden="false" customHeight="true" outlineLevel="0" collapsed="false">
      <c r="A80" s="11"/>
      <c r="B80" s="11"/>
      <c r="C80" s="11"/>
      <c r="D80" s="11"/>
      <c r="E80" s="11"/>
      <c r="F80" s="11"/>
      <c r="G80" s="11"/>
      <c r="H80" s="11"/>
      <c r="I80" s="11"/>
      <c r="J80" s="11"/>
      <c r="K80" s="11"/>
      <c r="L80" s="11"/>
      <c r="M80" s="11"/>
      <c r="N80" s="11"/>
      <c r="O80" s="11"/>
      <c r="P80" s="11"/>
      <c r="Q80" s="11"/>
      <c r="R80" s="11"/>
      <c r="S80" s="11"/>
      <c r="T80" s="11"/>
      <c r="U80" s="11"/>
      <c r="V80" s="12" t="str">
        <f aca="false">IF(A80="","",IF(COUNTIF($A$5:$A$154,A80)&gt;1,"DUPLICATE","UNIQUE"))</f>
        <v/>
      </c>
      <c r="W80" s="12" t="str">
        <f aca="false">IF(A80="","",IF(T80="Rejected","REJECTED",IF(AND(B80&lt;&gt;"",C80&lt;&gt;"",D80&lt;&gt;"",E80&lt;&gt;"",F80&lt;&gt;"",G80&lt;&gt;"",H80&lt;&gt;"",I80&lt;&gt;"",J80&lt;&gt;"",M80&lt;&gt;"",O80&lt;&gt;"",T80&lt;&gt;""),"COMPLETE","MISSING FIELDS")))</f>
        <v/>
      </c>
    </row>
    <row r="81" customFormat="false" ht="15" hidden="false" customHeight="true" outlineLevel="0" collapsed="false">
      <c r="A81" s="11"/>
      <c r="B81" s="11"/>
      <c r="C81" s="11"/>
      <c r="D81" s="11"/>
      <c r="E81" s="11"/>
      <c r="F81" s="11"/>
      <c r="G81" s="11"/>
      <c r="H81" s="11"/>
      <c r="I81" s="11"/>
      <c r="J81" s="11"/>
      <c r="K81" s="11"/>
      <c r="L81" s="11"/>
      <c r="M81" s="11"/>
      <c r="N81" s="11"/>
      <c r="O81" s="11"/>
      <c r="P81" s="11"/>
      <c r="Q81" s="11"/>
      <c r="R81" s="11"/>
      <c r="S81" s="11"/>
      <c r="T81" s="11"/>
      <c r="U81" s="11"/>
      <c r="V81" s="12" t="str">
        <f aca="false">IF(A81="","",IF(COUNTIF($A$5:$A$154,A81)&gt;1,"DUPLICATE","UNIQUE"))</f>
        <v/>
      </c>
      <c r="W81" s="12" t="str">
        <f aca="false">IF(A81="","",IF(T81="Rejected","REJECTED",IF(AND(B81&lt;&gt;"",C81&lt;&gt;"",D81&lt;&gt;"",E81&lt;&gt;"",F81&lt;&gt;"",G81&lt;&gt;"",H81&lt;&gt;"",I81&lt;&gt;"",J81&lt;&gt;"",M81&lt;&gt;"",O81&lt;&gt;"",T81&lt;&gt;""),"COMPLETE","MISSING FIELDS")))</f>
        <v/>
      </c>
    </row>
    <row r="82" customFormat="false" ht="15" hidden="false" customHeight="true" outlineLevel="0" collapsed="false">
      <c r="A82" s="11"/>
      <c r="B82" s="11"/>
      <c r="C82" s="11"/>
      <c r="D82" s="11"/>
      <c r="E82" s="11"/>
      <c r="F82" s="11"/>
      <c r="G82" s="11"/>
      <c r="H82" s="11"/>
      <c r="I82" s="11"/>
      <c r="J82" s="11"/>
      <c r="K82" s="11"/>
      <c r="L82" s="11"/>
      <c r="M82" s="11"/>
      <c r="N82" s="11"/>
      <c r="O82" s="11"/>
      <c r="P82" s="11"/>
      <c r="Q82" s="11"/>
      <c r="R82" s="11"/>
      <c r="S82" s="11"/>
      <c r="T82" s="11"/>
      <c r="U82" s="11"/>
      <c r="V82" s="12" t="str">
        <f aca="false">IF(A82="","",IF(COUNTIF($A$5:$A$154,A82)&gt;1,"DUPLICATE","UNIQUE"))</f>
        <v/>
      </c>
      <c r="W82" s="12" t="str">
        <f aca="false">IF(A82="","",IF(T82="Rejected","REJECTED",IF(AND(B82&lt;&gt;"",C82&lt;&gt;"",D82&lt;&gt;"",E82&lt;&gt;"",F82&lt;&gt;"",G82&lt;&gt;"",H82&lt;&gt;"",I82&lt;&gt;"",J82&lt;&gt;"",M82&lt;&gt;"",O82&lt;&gt;"",T82&lt;&gt;""),"COMPLETE","MISSING FIELDS")))</f>
        <v/>
      </c>
    </row>
    <row r="83" customFormat="false" ht="15" hidden="false" customHeight="true" outlineLevel="0" collapsed="false">
      <c r="A83" s="11"/>
      <c r="B83" s="11"/>
      <c r="C83" s="11"/>
      <c r="D83" s="11"/>
      <c r="E83" s="11"/>
      <c r="F83" s="11"/>
      <c r="G83" s="11"/>
      <c r="H83" s="11"/>
      <c r="I83" s="11"/>
      <c r="J83" s="11"/>
      <c r="K83" s="11"/>
      <c r="L83" s="11"/>
      <c r="M83" s="11"/>
      <c r="N83" s="11"/>
      <c r="O83" s="11"/>
      <c r="P83" s="11"/>
      <c r="Q83" s="11"/>
      <c r="R83" s="11"/>
      <c r="S83" s="11"/>
      <c r="T83" s="11"/>
      <c r="U83" s="11"/>
      <c r="V83" s="12" t="str">
        <f aca="false">IF(A83="","",IF(COUNTIF($A$5:$A$154,A83)&gt;1,"DUPLICATE","UNIQUE"))</f>
        <v/>
      </c>
      <c r="W83" s="12" t="str">
        <f aca="false">IF(A83="","",IF(T83="Rejected","REJECTED",IF(AND(B83&lt;&gt;"",C83&lt;&gt;"",D83&lt;&gt;"",E83&lt;&gt;"",F83&lt;&gt;"",G83&lt;&gt;"",H83&lt;&gt;"",I83&lt;&gt;"",J83&lt;&gt;"",M83&lt;&gt;"",O83&lt;&gt;"",T83&lt;&gt;""),"COMPLETE","MISSING FIELDS")))</f>
        <v/>
      </c>
    </row>
    <row r="84" customFormat="false" ht="15" hidden="false" customHeight="true" outlineLevel="0" collapsed="false">
      <c r="A84" s="11"/>
      <c r="B84" s="11"/>
      <c r="C84" s="11"/>
      <c r="D84" s="11"/>
      <c r="E84" s="11"/>
      <c r="F84" s="11"/>
      <c r="G84" s="11"/>
      <c r="H84" s="11"/>
      <c r="I84" s="11"/>
      <c r="J84" s="11"/>
      <c r="K84" s="11"/>
      <c r="L84" s="11"/>
      <c r="M84" s="11"/>
      <c r="N84" s="11"/>
      <c r="O84" s="11"/>
      <c r="P84" s="11"/>
      <c r="Q84" s="11"/>
      <c r="R84" s="11"/>
      <c r="S84" s="11"/>
      <c r="T84" s="11"/>
      <c r="U84" s="11"/>
      <c r="V84" s="12" t="str">
        <f aca="false">IF(A84="","",IF(COUNTIF($A$5:$A$154,A84)&gt;1,"DUPLICATE","UNIQUE"))</f>
        <v/>
      </c>
      <c r="W84" s="12" t="str">
        <f aca="false">IF(A84="","",IF(T84="Rejected","REJECTED",IF(AND(B84&lt;&gt;"",C84&lt;&gt;"",D84&lt;&gt;"",E84&lt;&gt;"",F84&lt;&gt;"",G84&lt;&gt;"",H84&lt;&gt;"",I84&lt;&gt;"",J84&lt;&gt;"",M84&lt;&gt;"",O84&lt;&gt;"",T84&lt;&gt;""),"COMPLETE","MISSING FIELDS")))</f>
        <v/>
      </c>
    </row>
    <row r="85" customFormat="false" ht="15" hidden="false" customHeight="true" outlineLevel="0" collapsed="false">
      <c r="A85" s="11"/>
      <c r="B85" s="11"/>
      <c r="C85" s="11"/>
      <c r="D85" s="11"/>
      <c r="E85" s="11"/>
      <c r="F85" s="11"/>
      <c r="G85" s="11"/>
      <c r="H85" s="11"/>
      <c r="I85" s="11"/>
      <c r="J85" s="11"/>
      <c r="K85" s="11"/>
      <c r="L85" s="11"/>
      <c r="M85" s="11"/>
      <c r="N85" s="11"/>
      <c r="O85" s="11"/>
      <c r="P85" s="11"/>
      <c r="Q85" s="11"/>
      <c r="R85" s="11"/>
      <c r="S85" s="11"/>
      <c r="T85" s="11"/>
      <c r="U85" s="11"/>
      <c r="V85" s="12" t="str">
        <f aca="false">IF(A85="","",IF(COUNTIF($A$5:$A$154,A85)&gt;1,"DUPLICATE","UNIQUE"))</f>
        <v/>
      </c>
      <c r="W85" s="12" t="str">
        <f aca="false">IF(A85="","",IF(T85="Rejected","REJECTED",IF(AND(B85&lt;&gt;"",C85&lt;&gt;"",D85&lt;&gt;"",E85&lt;&gt;"",F85&lt;&gt;"",G85&lt;&gt;"",H85&lt;&gt;"",I85&lt;&gt;"",J85&lt;&gt;"",M85&lt;&gt;"",O85&lt;&gt;"",T85&lt;&gt;""),"COMPLETE","MISSING FIELDS")))</f>
        <v/>
      </c>
    </row>
    <row r="86" customFormat="false" ht="15" hidden="false" customHeight="true" outlineLevel="0" collapsed="false">
      <c r="A86" s="11"/>
      <c r="B86" s="11"/>
      <c r="C86" s="11"/>
      <c r="D86" s="11"/>
      <c r="E86" s="11"/>
      <c r="F86" s="11"/>
      <c r="G86" s="11"/>
      <c r="H86" s="11"/>
      <c r="I86" s="11"/>
      <c r="J86" s="11"/>
      <c r="K86" s="11"/>
      <c r="L86" s="11"/>
      <c r="M86" s="11"/>
      <c r="N86" s="11"/>
      <c r="O86" s="11"/>
      <c r="P86" s="11"/>
      <c r="Q86" s="11"/>
      <c r="R86" s="11"/>
      <c r="S86" s="11"/>
      <c r="T86" s="11"/>
      <c r="U86" s="11"/>
      <c r="V86" s="12" t="str">
        <f aca="false">IF(A86="","",IF(COUNTIF($A$5:$A$154,A86)&gt;1,"DUPLICATE","UNIQUE"))</f>
        <v/>
      </c>
      <c r="W86" s="12" t="str">
        <f aca="false">IF(A86="","",IF(T86="Rejected","REJECTED",IF(AND(B86&lt;&gt;"",C86&lt;&gt;"",D86&lt;&gt;"",E86&lt;&gt;"",F86&lt;&gt;"",G86&lt;&gt;"",H86&lt;&gt;"",I86&lt;&gt;"",J86&lt;&gt;"",M86&lt;&gt;"",O86&lt;&gt;"",T86&lt;&gt;""),"COMPLETE","MISSING FIELDS")))</f>
        <v/>
      </c>
    </row>
    <row r="87" customFormat="false" ht="15" hidden="false" customHeight="true" outlineLevel="0" collapsed="false">
      <c r="A87" s="11"/>
      <c r="B87" s="11"/>
      <c r="C87" s="11"/>
      <c r="D87" s="11"/>
      <c r="E87" s="11"/>
      <c r="F87" s="11"/>
      <c r="G87" s="11"/>
      <c r="H87" s="11"/>
      <c r="I87" s="11"/>
      <c r="J87" s="11"/>
      <c r="K87" s="11"/>
      <c r="L87" s="11"/>
      <c r="M87" s="11"/>
      <c r="N87" s="11"/>
      <c r="O87" s="11"/>
      <c r="P87" s="11"/>
      <c r="Q87" s="11"/>
      <c r="R87" s="11"/>
      <c r="S87" s="11"/>
      <c r="T87" s="11"/>
      <c r="U87" s="11"/>
      <c r="V87" s="12" t="str">
        <f aca="false">IF(A87="","",IF(COUNTIF($A$5:$A$154,A87)&gt;1,"DUPLICATE","UNIQUE"))</f>
        <v/>
      </c>
      <c r="W87" s="12" t="str">
        <f aca="false">IF(A87="","",IF(T87="Rejected","REJECTED",IF(AND(B87&lt;&gt;"",C87&lt;&gt;"",D87&lt;&gt;"",E87&lt;&gt;"",F87&lt;&gt;"",G87&lt;&gt;"",H87&lt;&gt;"",I87&lt;&gt;"",J87&lt;&gt;"",M87&lt;&gt;"",O87&lt;&gt;"",T87&lt;&gt;""),"COMPLETE","MISSING FIELDS")))</f>
        <v/>
      </c>
    </row>
    <row r="88" customFormat="false" ht="15" hidden="false" customHeight="true" outlineLevel="0" collapsed="false">
      <c r="A88" s="11"/>
      <c r="B88" s="11"/>
      <c r="C88" s="11"/>
      <c r="D88" s="11"/>
      <c r="E88" s="11"/>
      <c r="F88" s="11"/>
      <c r="G88" s="11"/>
      <c r="H88" s="11"/>
      <c r="I88" s="11"/>
      <c r="J88" s="11"/>
      <c r="K88" s="11"/>
      <c r="L88" s="11"/>
      <c r="M88" s="11"/>
      <c r="N88" s="11"/>
      <c r="O88" s="11"/>
      <c r="P88" s="11"/>
      <c r="Q88" s="11"/>
      <c r="R88" s="11"/>
      <c r="S88" s="11"/>
      <c r="T88" s="11"/>
      <c r="U88" s="11"/>
      <c r="V88" s="12" t="str">
        <f aca="false">IF(A88="","",IF(COUNTIF($A$5:$A$154,A88)&gt;1,"DUPLICATE","UNIQUE"))</f>
        <v/>
      </c>
      <c r="W88" s="12" t="str">
        <f aca="false">IF(A88="","",IF(T88="Rejected","REJECTED",IF(AND(B88&lt;&gt;"",C88&lt;&gt;"",D88&lt;&gt;"",E88&lt;&gt;"",F88&lt;&gt;"",G88&lt;&gt;"",H88&lt;&gt;"",I88&lt;&gt;"",J88&lt;&gt;"",M88&lt;&gt;"",O88&lt;&gt;"",T88&lt;&gt;""),"COMPLETE","MISSING FIELDS")))</f>
        <v/>
      </c>
    </row>
    <row r="89" customFormat="false" ht="15" hidden="false" customHeight="true" outlineLevel="0" collapsed="false">
      <c r="A89" s="11"/>
      <c r="B89" s="11"/>
      <c r="C89" s="11"/>
      <c r="D89" s="11"/>
      <c r="E89" s="11"/>
      <c r="F89" s="11"/>
      <c r="G89" s="11"/>
      <c r="H89" s="11"/>
      <c r="I89" s="11"/>
      <c r="J89" s="11"/>
      <c r="K89" s="11"/>
      <c r="L89" s="11"/>
      <c r="M89" s="11"/>
      <c r="N89" s="11"/>
      <c r="O89" s="11"/>
      <c r="P89" s="11"/>
      <c r="Q89" s="11"/>
      <c r="R89" s="11"/>
      <c r="S89" s="11"/>
      <c r="T89" s="11"/>
      <c r="U89" s="11"/>
      <c r="V89" s="12" t="str">
        <f aca="false">IF(A89="","",IF(COUNTIF($A$5:$A$154,A89)&gt;1,"DUPLICATE","UNIQUE"))</f>
        <v/>
      </c>
      <c r="W89" s="12" t="str">
        <f aca="false">IF(A89="","",IF(T89="Rejected","REJECTED",IF(AND(B89&lt;&gt;"",C89&lt;&gt;"",D89&lt;&gt;"",E89&lt;&gt;"",F89&lt;&gt;"",G89&lt;&gt;"",H89&lt;&gt;"",I89&lt;&gt;"",J89&lt;&gt;"",M89&lt;&gt;"",O89&lt;&gt;"",T89&lt;&gt;""),"COMPLETE","MISSING FIELDS")))</f>
        <v/>
      </c>
    </row>
    <row r="90" customFormat="false" ht="15" hidden="false" customHeight="true" outlineLevel="0" collapsed="false">
      <c r="A90" s="11"/>
      <c r="B90" s="11"/>
      <c r="C90" s="11"/>
      <c r="D90" s="11"/>
      <c r="E90" s="11"/>
      <c r="F90" s="11"/>
      <c r="G90" s="11"/>
      <c r="H90" s="11"/>
      <c r="I90" s="11"/>
      <c r="J90" s="11"/>
      <c r="K90" s="11"/>
      <c r="L90" s="11"/>
      <c r="M90" s="11"/>
      <c r="N90" s="11"/>
      <c r="O90" s="11"/>
      <c r="P90" s="11"/>
      <c r="Q90" s="11"/>
      <c r="R90" s="11"/>
      <c r="S90" s="11"/>
      <c r="T90" s="11"/>
      <c r="U90" s="11"/>
      <c r="V90" s="12" t="str">
        <f aca="false">IF(A90="","",IF(COUNTIF($A$5:$A$154,A90)&gt;1,"DUPLICATE","UNIQUE"))</f>
        <v/>
      </c>
      <c r="W90" s="12" t="str">
        <f aca="false">IF(A90="","",IF(T90="Rejected","REJECTED",IF(AND(B90&lt;&gt;"",C90&lt;&gt;"",D90&lt;&gt;"",E90&lt;&gt;"",F90&lt;&gt;"",G90&lt;&gt;"",H90&lt;&gt;"",I90&lt;&gt;"",J90&lt;&gt;"",M90&lt;&gt;"",O90&lt;&gt;"",T90&lt;&gt;""),"COMPLETE","MISSING FIELDS")))</f>
        <v/>
      </c>
    </row>
    <row r="91" customFormat="false" ht="15" hidden="false" customHeight="true" outlineLevel="0" collapsed="false">
      <c r="A91" s="11"/>
      <c r="B91" s="11"/>
      <c r="C91" s="11"/>
      <c r="D91" s="11"/>
      <c r="E91" s="11"/>
      <c r="F91" s="11"/>
      <c r="G91" s="11"/>
      <c r="H91" s="11"/>
      <c r="I91" s="11"/>
      <c r="J91" s="11"/>
      <c r="K91" s="11"/>
      <c r="L91" s="11"/>
      <c r="M91" s="11"/>
      <c r="N91" s="11"/>
      <c r="O91" s="11"/>
      <c r="P91" s="11"/>
      <c r="Q91" s="11"/>
      <c r="R91" s="11"/>
      <c r="S91" s="11"/>
      <c r="T91" s="11"/>
      <c r="U91" s="11"/>
      <c r="V91" s="12" t="str">
        <f aca="false">IF(A91="","",IF(COUNTIF($A$5:$A$154,A91)&gt;1,"DUPLICATE","UNIQUE"))</f>
        <v/>
      </c>
      <c r="W91" s="12" t="str">
        <f aca="false">IF(A91="","",IF(T91="Rejected","REJECTED",IF(AND(B91&lt;&gt;"",C91&lt;&gt;"",D91&lt;&gt;"",E91&lt;&gt;"",F91&lt;&gt;"",G91&lt;&gt;"",H91&lt;&gt;"",I91&lt;&gt;"",J91&lt;&gt;"",M91&lt;&gt;"",O91&lt;&gt;"",T91&lt;&gt;""),"COMPLETE","MISSING FIELDS")))</f>
        <v/>
      </c>
    </row>
    <row r="92" customFormat="false" ht="15" hidden="false" customHeight="true" outlineLevel="0" collapsed="false">
      <c r="A92" s="11"/>
      <c r="B92" s="11"/>
      <c r="C92" s="11"/>
      <c r="D92" s="11"/>
      <c r="E92" s="11"/>
      <c r="F92" s="11"/>
      <c r="G92" s="11"/>
      <c r="H92" s="11"/>
      <c r="I92" s="11"/>
      <c r="J92" s="11"/>
      <c r="K92" s="11"/>
      <c r="L92" s="11"/>
      <c r="M92" s="11"/>
      <c r="N92" s="11"/>
      <c r="O92" s="11"/>
      <c r="P92" s="11"/>
      <c r="Q92" s="11"/>
      <c r="R92" s="11"/>
      <c r="S92" s="11"/>
      <c r="T92" s="11"/>
      <c r="U92" s="11"/>
      <c r="V92" s="12" t="str">
        <f aca="false">IF(A92="","",IF(COUNTIF($A$5:$A$154,A92)&gt;1,"DUPLICATE","UNIQUE"))</f>
        <v/>
      </c>
      <c r="W92" s="12" t="str">
        <f aca="false">IF(A92="","",IF(T92="Rejected","REJECTED",IF(AND(B92&lt;&gt;"",C92&lt;&gt;"",D92&lt;&gt;"",E92&lt;&gt;"",F92&lt;&gt;"",G92&lt;&gt;"",H92&lt;&gt;"",I92&lt;&gt;"",J92&lt;&gt;"",M92&lt;&gt;"",O92&lt;&gt;"",T92&lt;&gt;""),"COMPLETE","MISSING FIELDS")))</f>
        <v/>
      </c>
    </row>
    <row r="93" customFormat="false" ht="15" hidden="false" customHeight="true" outlineLevel="0" collapsed="false">
      <c r="A93" s="11"/>
      <c r="B93" s="11"/>
      <c r="C93" s="11"/>
      <c r="D93" s="11"/>
      <c r="E93" s="11"/>
      <c r="F93" s="11"/>
      <c r="G93" s="11"/>
      <c r="H93" s="11"/>
      <c r="I93" s="11"/>
      <c r="J93" s="11"/>
      <c r="K93" s="11"/>
      <c r="L93" s="11"/>
      <c r="M93" s="11"/>
      <c r="N93" s="11"/>
      <c r="O93" s="11"/>
      <c r="P93" s="11"/>
      <c r="Q93" s="11"/>
      <c r="R93" s="11"/>
      <c r="S93" s="11"/>
      <c r="T93" s="11"/>
      <c r="U93" s="11"/>
      <c r="V93" s="12" t="str">
        <f aca="false">IF(A93="","",IF(COUNTIF($A$5:$A$154,A93)&gt;1,"DUPLICATE","UNIQUE"))</f>
        <v/>
      </c>
      <c r="W93" s="12" t="str">
        <f aca="false">IF(A93="","",IF(T93="Rejected","REJECTED",IF(AND(B93&lt;&gt;"",C93&lt;&gt;"",D93&lt;&gt;"",E93&lt;&gt;"",F93&lt;&gt;"",G93&lt;&gt;"",H93&lt;&gt;"",I93&lt;&gt;"",J93&lt;&gt;"",M93&lt;&gt;"",O93&lt;&gt;"",T93&lt;&gt;""),"COMPLETE","MISSING FIELDS")))</f>
        <v/>
      </c>
    </row>
    <row r="94" customFormat="false" ht="15" hidden="false" customHeight="true" outlineLevel="0" collapsed="false">
      <c r="A94" s="11"/>
      <c r="B94" s="11"/>
      <c r="C94" s="11"/>
      <c r="D94" s="11"/>
      <c r="E94" s="11"/>
      <c r="F94" s="11"/>
      <c r="G94" s="11"/>
      <c r="H94" s="11"/>
      <c r="I94" s="11"/>
      <c r="J94" s="11"/>
      <c r="K94" s="11"/>
      <c r="L94" s="11"/>
      <c r="M94" s="11"/>
      <c r="N94" s="11"/>
      <c r="O94" s="11"/>
      <c r="P94" s="11"/>
      <c r="Q94" s="11"/>
      <c r="R94" s="11"/>
      <c r="S94" s="11"/>
      <c r="T94" s="11"/>
      <c r="U94" s="11"/>
      <c r="V94" s="12" t="str">
        <f aca="false">IF(A94="","",IF(COUNTIF($A$5:$A$154,A94)&gt;1,"DUPLICATE","UNIQUE"))</f>
        <v/>
      </c>
      <c r="W94" s="12" t="str">
        <f aca="false">IF(A94="","",IF(T94="Rejected","REJECTED",IF(AND(B94&lt;&gt;"",C94&lt;&gt;"",D94&lt;&gt;"",E94&lt;&gt;"",F94&lt;&gt;"",G94&lt;&gt;"",H94&lt;&gt;"",I94&lt;&gt;"",J94&lt;&gt;"",M94&lt;&gt;"",O94&lt;&gt;"",T94&lt;&gt;""),"COMPLETE","MISSING FIELDS")))</f>
        <v/>
      </c>
    </row>
    <row r="95" customFormat="false" ht="15" hidden="false" customHeight="true" outlineLevel="0" collapsed="false">
      <c r="A95" s="11"/>
      <c r="B95" s="11"/>
      <c r="C95" s="11"/>
      <c r="D95" s="11"/>
      <c r="E95" s="11"/>
      <c r="F95" s="11"/>
      <c r="G95" s="11"/>
      <c r="H95" s="11"/>
      <c r="I95" s="11"/>
      <c r="J95" s="11"/>
      <c r="K95" s="11"/>
      <c r="L95" s="11"/>
      <c r="M95" s="11"/>
      <c r="N95" s="11"/>
      <c r="O95" s="11"/>
      <c r="P95" s="11"/>
      <c r="Q95" s="11"/>
      <c r="R95" s="11"/>
      <c r="S95" s="11"/>
      <c r="T95" s="11"/>
      <c r="U95" s="11"/>
      <c r="V95" s="12" t="str">
        <f aca="false">IF(A95="","",IF(COUNTIF($A$5:$A$154,A95)&gt;1,"DUPLICATE","UNIQUE"))</f>
        <v/>
      </c>
      <c r="W95" s="12" t="str">
        <f aca="false">IF(A95="","",IF(T95="Rejected","REJECTED",IF(AND(B95&lt;&gt;"",C95&lt;&gt;"",D95&lt;&gt;"",E95&lt;&gt;"",F95&lt;&gt;"",G95&lt;&gt;"",H95&lt;&gt;"",I95&lt;&gt;"",J95&lt;&gt;"",M95&lt;&gt;"",O95&lt;&gt;"",T95&lt;&gt;""),"COMPLETE","MISSING FIELDS")))</f>
        <v/>
      </c>
    </row>
    <row r="96" customFormat="false" ht="15" hidden="false" customHeight="true" outlineLevel="0" collapsed="false">
      <c r="A96" s="11"/>
      <c r="B96" s="11"/>
      <c r="C96" s="11"/>
      <c r="D96" s="11"/>
      <c r="E96" s="11"/>
      <c r="F96" s="11"/>
      <c r="G96" s="11"/>
      <c r="H96" s="11"/>
      <c r="I96" s="11"/>
      <c r="J96" s="11"/>
      <c r="K96" s="11"/>
      <c r="L96" s="11"/>
      <c r="M96" s="11"/>
      <c r="N96" s="11"/>
      <c r="O96" s="11"/>
      <c r="P96" s="11"/>
      <c r="Q96" s="11"/>
      <c r="R96" s="11"/>
      <c r="S96" s="11"/>
      <c r="T96" s="11"/>
      <c r="U96" s="11"/>
      <c r="V96" s="12" t="str">
        <f aca="false">IF(A96="","",IF(COUNTIF($A$5:$A$154,A96)&gt;1,"DUPLICATE","UNIQUE"))</f>
        <v/>
      </c>
      <c r="W96" s="12" t="str">
        <f aca="false">IF(A96="","",IF(T96="Rejected","REJECTED",IF(AND(B96&lt;&gt;"",C96&lt;&gt;"",D96&lt;&gt;"",E96&lt;&gt;"",F96&lt;&gt;"",G96&lt;&gt;"",H96&lt;&gt;"",I96&lt;&gt;"",J96&lt;&gt;"",M96&lt;&gt;"",O96&lt;&gt;"",T96&lt;&gt;""),"COMPLETE","MISSING FIELDS")))</f>
        <v/>
      </c>
    </row>
    <row r="97" customFormat="false" ht="15" hidden="false" customHeight="true" outlineLevel="0" collapsed="false">
      <c r="A97" s="11"/>
      <c r="B97" s="11"/>
      <c r="C97" s="11"/>
      <c r="D97" s="11"/>
      <c r="E97" s="11"/>
      <c r="F97" s="11"/>
      <c r="G97" s="11"/>
      <c r="H97" s="11"/>
      <c r="I97" s="11"/>
      <c r="J97" s="11"/>
      <c r="K97" s="11"/>
      <c r="L97" s="11"/>
      <c r="M97" s="11"/>
      <c r="N97" s="11"/>
      <c r="O97" s="11"/>
      <c r="P97" s="11"/>
      <c r="Q97" s="11"/>
      <c r="R97" s="11"/>
      <c r="S97" s="11"/>
      <c r="T97" s="11"/>
      <c r="U97" s="11"/>
      <c r="V97" s="12" t="str">
        <f aca="false">IF(A97="","",IF(COUNTIF($A$5:$A$154,A97)&gt;1,"DUPLICATE","UNIQUE"))</f>
        <v/>
      </c>
      <c r="W97" s="12" t="str">
        <f aca="false">IF(A97="","",IF(T97="Rejected","REJECTED",IF(AND(B97&lt;&gt;"",C97&lt;&gt;"",D97&lt;&gt;"",E97&lt;&gt;"",F97&lt;&gt;"",G97&lt;&gt;"",H97&lt;&gt;"",I97&lt;&gt;"",J97&lt;&gt;"",M97&lt;&gt;"",O97&lt;&gt;"",T97&lt;&gt;""),"COMPLETE","MISSING FIELDS")))</f>
        <v/>
      </c>
    </row>
    <row r="98" customFormat="false" ht="15" hidden="false" customHeight="true" outlineLevel="0" collapsed="false">
      <c r="A98" s="11"/>
      <c r="B98" s="11"/>
      <c r="C98" s="11"/>
      <c r="D98" s="11"/>
      <c r="E98" s="11"/>
      <c r="F98" s="11"/>
      <c r="G98" s="11"/>
      <c r="H98" s="11"/>
      <c r="I98" s="11"/>
      <c r="J98" s="11"/>
      <c r="K98" s="11"/>
      <c r="L98" s="11"/>
      <c r="M98" s="11"/>
      <c r="N98" s="11"/>
      <c r="O98" s="11"/>
      <c r="P98" s="11"/>
      <c r="Q98" s="11"/>
      <c r="R98" s="11"/>
      <c r="S98" s="11"/>
      <c r="T98" s="11"/>
      <c r="U98" s="11"/>
      <c r="V98" s="12" t="str">
        <f aca="false">IF(A98="","",IF(COUNTIF($A$5:$A$154,A98)&gt;1,"DUPLICATE","UNIQUE"))</f>
        <v/>
      </c>
      <c r="W98" s="12" t="str">
        <f aca="false">IF(A98="","",IF(T98="Rejected","REJECTED",IF(AND(B98&lt;&gt;"",C98&lt;&gt;"",D98&lt;&gt;"",E98&lt;&gt;"",F98&lt;&gt;"",G98&lt;&gt;"",H98&lt;&gt;"",I98&lt;&gt;"",J98&lt;&gt;"",M98&lt;&gt;"",O98&lt;&gt;"",T98&lt;&gt;""),"COMPLETE","MISSING FIELDS")))</f>
        <v/>
      </c>
    </row>
    <row r="99" customFormat="false" ht="15" hidden="false" customHeight="true" outlineLevel="0" collapsed="false">
      <c r="A99" s="11"/>
      <c r="B99" s="11"/>
      <c r="C99" s="11"/>
      <c r="D99" s="11"/>
      <c r="E99" s="11"/>
      <c r="F99" s="11"/>
      <c r="G99" s="11"/>
      <c r="H99" s="11"/>
      <c r="I99" s="11"/>
      <c r="J99" s="11"/>
      <c r="K99" s="11"/>
      <c r="L99" s="11"/>
      <c r="M99" s="11"/>
      <c r="N99" s="11"/>
      <c r="O99" s="11"/>
      <c r="P99" s="11"/>
      <c r="Q99" s="11"/>
      <c r="R99" s="11"/>
      <c r="S99" s="11"/>
      <c r="T99" s="11"/>
      <c r="U99" s="11"/>
      <c r="V99" s="12" t="str">
        <f aca="false">IF(A99="","",IF(COUNTIF($A$5:$A$154,A99)&gt;1,"DUPLICATE","UNIQUE"))</f>
        <v/>
      </c>
      <c r="W99" s="12" t="str">
        <f aca="false">IF(A99="","",IF(T99="Rejected","REJECTED",IF(AND(B99&lt;&gt;"",C99&lt;&gt;"",D99&lt;&gt;"",E99&lt;&gt;"",F99&lt;&gt;"",G99&lt;&gt;"",H99&lt;&gt;"",I99&lt;&gt;"",J99&lt;&gt;"",M99&lt;&gt;"",O99&lt;&gt;"",T99&lt;&gt;""),"COMPLETE","MISSING FIELDS")))</f>
        <v/>
      </c>
    </row>
    <row r="100" customFormat="false" ht="15" hidden="false" customHeight="tru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2" t="str">
        <f aca="false">IF(A100="","",IF(COUNTIF($A$5:$A$154,A100)&gt;1,"DUPLICATE","UNIQUE"))</f>
        <v/>
      </c>
      <c r="W100" s="12" t="str">
        <f aca="false">IF(A100="","",IF(T100="Rejected","REJECTED",IF(AND(B100&lt;&gt;"",C100&lt;&gt;"",D100&lt;&gt;"",E100&lt;&gt;"",F100&lt;&gt;"",G100&lt;&gt;"",H100&lt;&gt;"",I100&lt;&gt;"",J100&lt;&gt;"",M100&lt;&gt;"",O100&lt;&gt;"",T100&lt;&gt;""),"COMPLETE","MISSING FIELDS")))</f>
        <v/>
      </c>
    </row>
    <row r="101" customFormat="false" ht="15" hidden="false" customHeight="tru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2" t="str">
        <f aca="false">IF(A101="","",IF(COUNTIF($A$5:$A$154,A101)&gt;1,"DUPLICATE","UNIQUE"))</f>
        <v/>
      </c>
      <c r="W101" s="12" t="str">
        <f aca="false">IF(A101="","",IF(T101="Rejected","REJECTED",IF(AND(B101&lt;&gt;"",C101&lt;&gt;"",D101&lt;&gt;"",E101&lt;&gt;"",F101&lt;&gt;"",G101&lt;&gt;"",H101&lt;&gt;"",I101&lt;&gt;"",J101&lt;&gt;"",M101&lt;&gt;"",O101&lt;&gt;"",T101&lt;&gt;""),"COMPLETE","MISSING FIELDS")))</f>
        <v/>
      </c>
    </row>
    <row r="102" customFormat="false" ht="15" hidden="false" customHeight="tru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2" t="str">
        <f aca="false">IF(A102="","",IF(COUNTIF($A$5:$A$154,A102)&gt;1,"DUPLICATE","UNIQUE"))</f>
        <v/>
      </c>
      <c r="W102" s="12" t="str">
        <f aca="false">IF(A102="","",IF(T102="Rejected","REJECTED",IF(AND(B102&lt;&gt;"",C102&lt;&gt;"",D102&lt;&gt;"",E102&lt;&gt;"",F102&lt;&gt;"",G102&lt;&gt;"",H102&lt;&gt;"",I102&lt;&gt;"",J102&lt;&gt;"",M102&lt;&gt;"",O102&lt;&gt;"",T102&lt;&gt;""),"COMPLETE","MISSING FIELDS")))</f>
        <v/>
      </c>
    </row>
    <row r="103" customFormat="false" ht="15" hidden="false" customHeight="tru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2" t="str">
        <f aca="false">IF(A103="","",IF(COUNTIF($A$5:$A$154,A103)&gt;1,"DUPLICATE","UNIQUE"))</f>
        <v/>
      </c>
      <c r="W103" s="12" t="str">
        <f aca="false">IF(A103="","",IF(T103="Rejected","REJECTED",IF(AND(B103&lt;&gt;"",C103&lt;&gt;"",D103&lt;&gt;"",E103&lt;&gt;"",F103&lt;&gt;"",G103&lt;&gt;"",H103&lt;&gt;"",I103&lt;&gt;"",J103&lt;&gt;"",M103&lt;&gt;"",O103&lt;&gt;"",T103&lt;&gt;""),"COMPLETE","MISSING FIELDS")))</f>
        <v/>
      </c>
    </row>
    <row r="104" customFormat="false" ht="15" hidden="false" customHeight="tru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2" t="str">
        <f aca="false">IF(A104="","",IF(COUNTIF($A$5:$A$154,A104)&gt;1,"DUPLICATE","UNIQUE"))</f>
        <v/>
      </c>
      <c r="W104" s="12" t="str">
        <f aca="false">IF(A104="","",IF(T104="Rejected","REJECTED",IF(AND(B104&lt;&gt;"",C104&lt;&gt;"",D104&lt;&gt;"",E104&lt;&gt;"",F104&lt;&gt;"",G104&lt;&gt;"",H104&lt;&gt;"",I104&lt;&gt;"",J104&lt;&gt;"",M104&lt;&gt;"",O104&lt;&gt;"",T104&lt;&gt;""),"COMPLETE","MISSING FIELDS")))</f>
        <v/>
      </c>
    </row>
    <row r="105" customFormat="false" ht="15" hidden="false" customHeight="tru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2" t="str">
        <f aca="false">IF(A105="","",IF(COUNTIF($A$5:$A$154,A105)&gt;1,"DUPLICATE","UNIQUE"))</f>
        <v/>
      </c>
      <c r="W105" s="12" t="str">
        <f aca="false">IF(A105="","",IF(T105="Rejected","REJECTED",IF(AND(B105&lt;&gt;"",C105&lt;&gt;"",D105&lt;&gt;"",E105&lt;&gt;"",F105&lt;&gt;"",G105&lt;&gt;"",H105&lt;&gt;"",I105&lt;&gt;"",J105&lt;&gt;"",M105&lt;&gt;"",O105&lt;&gt;"",T105&lt;&gt;""),"COMPLETE","MISSING FIELDS")))</f>
        <v/>
      </c>
    </row>
    <row r="106" customFormat="false" ht="15" hidden="false" customHeight="tru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2" t="str">
        <f aca="false">IF(A106="","",IF(COUNTIF($A$5:$A$154,A106)&gt;1,"DUPLICATE","UNIQUE"))</f>
        <v/>
      </c>
      <c r="W106" s="12" t="str">
        <f aca="false">IF(A106="","",IF(T106="Rejected","REJECTED",IF(AND(B106&lt;&gt;"",C106&lt;&gt;"",D106&lt;&gt;"",E106&lt;&gt;"",F106&lt;&gt;"",G106&lt;&gt;"",H106&lt;&gt;"",I106&lt;&gt;"",J106&lt;&gt;"",M106&lt;&gt;"",O106&lt;&gt;"",T106&lt;&gt;""),"COMPLETE","MISSING FIELDS")))</f>
        <v/>
      </c>
    </row>
    <row r="107" customFormat="false" ht="15" hidden="false" customHeight="tru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2" t="str">
        <f aca="false">IF(A107="","",IF(COUNTIF($A$5:$A$154,A107)&gt;1,"DUPLICATE","UNIQUE"))</f>
        <v/>
      </c>
      <c r="W107" s="12" t="str">
        <f aca="false">IF(A107="","",IF(T107="Rejected","REJECTED",IF(AND(B107&lt;&gt;"",C107&lt;&gt;"",D107&lt;&gt;"",E107&lt;&gt;"",F107&lt;&gt;"",G107&lt;&gt;"",H107&lt;&gt;"",I107&lt;&gt;"",J107&lt;&gt;"",M107&lt;&gt;"",O107&lt;&gt;"",T107&lt;&gt;""),"COMPLETE","MISSING FIELDS")))</f>
        <v/>
      </c>
    </row>
    <row r="108" customFormat="false" ht="15" hidden="false" customHeight="tru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2" t="str">
        <f aca="false">IF(A108="","",IF(COUNTIF($A$5:$A$154,A108)&gt;1,"DUPLICATE","UNIQUE"))</f>
        <v/>
      </c>
      <c r="W108" s="12" t="str">
        <f aca="false">IF(A108="","",IF(T108="Rejected","REJECTED",IF(AND(B108&lt;&gt;"",C108&lt;&gt;"",D108&lt;&gt;"",E108&lt;&gt;"",F108&lt;&gt;"",G108&lt;&gt;"",H108&lt;&gt;"",I108&lt;&gt;"",J108&lt;&gt;"",M108&lt;&gt;"",O108&lt;&gt;"",T108&lt;&gt;""),"COMPLETE","MISSING FIELDS")))</f>
        <v/>
      </c>
    </row>
    <row r="109" customFormat="false" ht="15" hidden="false" customHeight="tru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2" t="str">
        <f aca="false">IF(A109="","",IF(COUNTIF($A$5:$A$154,A109)&gt;1,"DUPLICATE","UNIQUE"))</f>
        <v/>
      </c>
      <c r="W109" s="12" t="str">
        <f aca="false">IF(A109="","",IF(T109="Rejected","REJECTED",IF(AND(B109&lt;&gt;"",C109&lt;&gt;"",D109&lt;&gt;"",E109&lt;&gt;"",F109&lt;&gt;"",G109&lt;&gt;"",H109&lt;&gt;"",I109&lt;&gt;"",J109&lt;&gt;"",M109&lt;&gt;"",O109&lt;&gt;"",T109&lt;&gt;""),"COMPLETE","MISSING FIELDS")))</f>
        <v/>
      </c>
    </row>
    <row r="110" customFormat="false" ht="15" hidden="false" customHeight="tru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2" t="str">
        <f aca="false">IF(A110="","",IF(COUNTIF($A$5:$A$154,A110)&gt;1,"DUPLICATE","UNIQUE"))</f>
        <v/>
      </c>
      <c r="W110" s="12" t="str">
        <f aca="false">IF(A110="","",IF(T110="Rejected","REJECTED",IF(AND(B110&lt;&gt;"",C110&lt;&gt;"",D110&lt;&gt;"",E110&lt;&gt;"",F110&lt;&gt;"",G110&lt;&gt;"",H110&lt;&gt;"",I110&lt;&gt;"",J110&lt;&gt;"",M110&lt;&gt;"",O110&lt;&gt;"",T110&lt;&gt;""),"COMPLETE","MISSING FIELDS")))</f>
        <v/>
      </c>
    </row>
    <row r="111" customFormat="false" ht="15" hidden="false" customHeight="tru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2" t="str">
        <f aca="false">IF(A111="","",IF(COUNTIF($A$5:$A$154,A111)&gt;1,"DUPLICATE","UNIQUE"))</f>
        <v/>
      </c>
      <c r="W111" s="12" t="str">
        <f aca="false">IF(A111="","",IF(T111="Rejected","REJECTED",IF(AND(B111&lt;&gt;"",C111&lt;&gt;"",D111&lt;&gt;"",E111&lt;&gt;"",F111&lt;&gt;"",G111&lt;&gt;"",H111&lt;&gt;"",I111&lt;&gt;"",J111&lt;&gt;"",M111&lt;&gt;"",O111&lt;&gt;"",T111&lt;&gt;""),"COMPLETE","MISSING FIELDS")))</f>
        <v/>
      </c>
    </row>
    <row r="112" customFormat="false" ht="15" hidden="false" customHeight="tru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2" t="str">
        <f aca="false">IF(A112="","",IF(COUNTIF($A$5:$A$154,A112)&gt;1,"DUPLICATE","UNIQUE"))</f>
        <v/>
      </c>
      <c r="W112" s="12" t="str">
        <f aca="false">IF(A112="","",IF(T112="Rejected","REJECTED",IF(AND(B112&lt;&gt;"",C112&lt;&gt;"",D112&lt;&gt;"",E112&lt;&gt;"",F112&lt;&gt;"",G112&lt;&gt;"",H112&lt;&gt;"",I112&lt;&gt;"",J112&lt;&gt;"",M112&lt;&gt;"",O112&lt;&gt;"",T112&lt;&gt;""),"COMPLETE","MISSING FIELDS")))</f>
        <v/>
      </c>
    </row>
    <row r="113" customFormat="false" ht="15" hidden="false" customHeight="tru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2" t="str">
        <f aca="false">IF(A113="","",IF(COUNTIF($A$5:$A$154,A113)&gt;1,"DUPLICATE","UNIQUE"))</f>
        <v/>
      </c>
      <c r="W113" s="12" t="str">
        <f aca="false">IF(A113="","",IF(T113="Rejected","REJECTED",IF(AND(B113&lt;&gt;"",C113&lt;&gt;"",D113&lt;&gt;"",E113&lt;&gt;"",F113&lt;&gt;"",G113&lt;&gt;"",H113&lt;&gt;"",I113&lt;&gt;"",J113&lt;&gt;"",M113&lt;&gt;"",O113&lt;&gt;"",T113&lt;&gt;""),"COMPLETE","MISSING FIELDS")))</f>
        <v/>
      </c>
    </row>
    <row r="114" customFormat="false" ht="15" hidden="false" customHeight="tru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2" t="str">
        <f aca="false">IF(A114="","",IF(COUNTIF($A$5:$A$154,A114)&gt;1,"DUPLICATE","UNIQUE"))</f>
        <v/>
      </c>
      <c r="W114" s="12" t="str">
        <f aca="false">IF(A114="","",IF(T114="Rejected","REJECTED",IF(AND(B114&lt;&gt;"",C114&lt;&gt;"",D114&lt;&gt;"",E114&lt;&gt;"",F114&lt;&gt;"",G114&lt;&gt;"",H114&lt;&gt;"",I114&lt;&gt;"",J114&lt;&gt;"",M114&lt;&gt;"",O114&lt;&gt;"",T114&lt;&gt;""),"COMPLETE","MISSING FIELDS")))</f>
        <v/>
      </c>
    </row>
    <row r="115" customFormat="false" ht="15" hidden="false" customHeight="tru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2" t="str">
        <f aca="false">IF(A115="","",IF(COUNTIF($A$5:$A$154,A115)&gt;1,"DUPLICATE","UNIQUE"))</f>
        <v/>
      </c>
      <c r="W115" s="12" t="str">
        <f aca="false">IF(A115="","",IF(T115="Rejected","REJECTED",IF(AND(B115&lt;&gt;"",C115&lt;&gt;"",D115&lt;&gt;"",E115&lt;&gt;"",F115&lt;&gt;"",G115&lt;&gt;"",H115&lt;&gt;"",I115&lt;&gt;"",J115&lt;&gt;"",M115&lt;&gt;"",O115&lt;&gt;"",T115&lt;&gt;""),"COMPLETE","MISSING FIELDS")))</f>
        <v/>
      </c>
    </row>
    <row r="116" customFormat="false" ht="15" hidden="false" customHeight="tru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2" t="str">
        <f aca="false">IF(A116="","",IF(COUNTIF($A$5:$A$154,A116)&gt;1,"DUPLICATE","UNIQUE"))</f>
        <v/>
      </c>
      <c r="W116" s="12" t="str">
        <f aca="false">IF(A116="","",IF(T116="Rejected","REJECTED",IF(AND(B116&lt;&gt;"",C116&lt;&gt;"",D116&lt;&gt;"",E116&lt;&gt;"",F116&lt;&gt;"",G116&lt;&gt;"",H116&lt;&gt;"",I116&lt;&gt;"",J116&lt;&gt;"",M116&lt;&gt;"",O116&lt;&gt;"",T116&lt;&gt;""),"COMPLETE","MISSING FIELDS")))</f>
        <v/>
      </c>
    </row>
    <row r="117" customFormat="false" ht="15" hidden="false" customHeight="tru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2" t="str">
        <f aca="false">IF(A117="","",IF(COUNTIF($A$5:$A$154,A117)&gt;1,"DUPLICATE","UNIQUE"))</f>
        <v/>
      </c>
      <c r="W117" s="12" t="str">
        <f aca="false">IF(A117="","",IF(T117="Rejected","REJECTED",IF(AND(B117&lt;&gt;"",C117&lt;&gt;"",D117&lt;&gt;"",E117&lt;&gt;"",F117&lt;&gt;"",G117&lt;&gt;"",H117&lt;&gt;"",I117&lt;&gt;"",J117&lt;&gt;"",M117&lt;&gt;"",O117&lt;&gt;"",T117&lt;&gt;""),"COMPLETE","MISSING FIELDS")))</f>
        <v/>
      </c>
    </row>
    <row r="118" customFormat="false" ht="15" hidden="false" customHeight="tru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2" t="str">
        <f aca="false">IF(A118="","",IF(COUNTIF($A$5:$A$154,A118)&gt;1,"DUPLICATE","UNIQUE"))</f>
        <v/>
      </c>
      <c r="W118" s="12" t="str">
        <f aca="false">IF(A118="","",IF(T118="Rejected","REJECTED",IF(AND(B118&lt;&gt;"",C118&lt;&gt;"",D118&lt;&gt;"",E118&lt;&gt;"",F118&lt;&gt;"",G118&lt;&gt;"",H118&lt;&gt;"",I118&lt;&gt;"",J118&lt;&gt;"",M118&lt;&gt;"",O118&lt;&gt;"",T118&lt;&gt;""),"COMPLETE","MISSING FIELDS")))</f>
        <v/>
      </c>
    </row>
    <row r="119" customFormat="false" ht="15" hidden="false" customHeight="tru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2" t="str">
        <f aca="false">IF(A119="","",IF(COUNTIF($A$5:$A$154,A119)&gt;1,"DUPLICATE","UNIQUE"))</f>
        <v/>
      </c>
      <c r="W119" s="12" t="str">
        <f aca="false">IF(A119="","",IF(T119="Rejected","REJECTED",IF(AND(B119&lt;&gt;"",C119&lt;&gt;"",D119&lt;&gt;"",E119&lt;&gt;"",F119&lt;&gt;"",G119&lt;&gt;"",H119&lt;&gt;"",I119&lt;&gt;"",J119&lt;&gt;"",M119&lt;&gt;"",O119&lt;&gt;"",T119&lt;&gt;""),"COMPLETE","MISSING FIELDS")))</f>
        <v/>
      </c>
    </row>
    <row r="120" customFormat="false" ht="15" hidden="false" customHeight="tru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2" t="str">
        <f aca="false">IF(A120="","",IF(COUNTIF($A$5:$A$154,A120)&gt;1,"DUPLICATE","UNIQUE"))</f>
        <v/>
      </c>
      <c r="W120" s="12" t="str">
        <f aca="false">IF(A120="","",IF(T120="Rejected","REJECTED",IF(AND(B120&lt;&gt;"",C120&lt;&gt;"",D120&lt;&gt;"",E120&lt;&gt;"",F120&lt;&gt;"",G120&lt;&gt;"",H120&lt;&gt;"",I120&lt;&gt;"",J120&lt;&gt;"",M120&lt;&gt;"",O120&lt;&gt;"",T120&lt;&gt;""),"COMPLETE","MISSING FIELDS")))</f>
        <v/>
      </c>
    </row>
    <row r="121" customFormat="false" ht="15" hidden="false" customHeight="tru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2" t="str">
        <f aca="false">IF(A121="","",IF(COUNTIF($A$5:$A$154,A121)&gt;1,"DUPLICATE","UNIQUE"))</f>
        <v/>
      </c>
      <c r="W121" s="12" t="str">
        <f aca="false">IF(A121="","",IF(T121="Rejected","REJECTED",IF(AND(B121&lt;&gt;"",C121&lt;&gt;"",D121&lt;&gt;"",E121&lt;&gt;"",F121&lt;&gt;"",G121&lt;&gt;"",H121&lt;&gt;"",I121&lt;&gt;"",J121&lt;&gt;"",M121&lt;&gt;"",O121&lt;&gt;"",T121&lt;&gt;""),"COMPLETE","MISSING FIELDS")))</f>
        <v/>
      </c>
    </row>
    <row r="122" customFormat="false" ht="15" hidden="false" customHeight="tru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2" t="str">
        <f aca="false">IF(A122="","",IF(COUNTIF($A$5:$A$154,A122)&gt;1,"DUPLICATE","UNIQUE"))</f>
        <v/>
      </c>
      <c r="W122" s="12" t="str">
        <f aca="false">IF(A122="","",IF(T122="Rejected","REJECTED",IF(AND(B122&lt;&gt;"",C122&lt;&gt;"",D122&lt;&gt;"",E122&lt;&gt;"",F122&lt;&gt;"",G122&lt;&gt;"",H122&lt;&gt;"",I122&lt;&gt;"",J122&lt;&gt;"",M122&lt;&gt;"",O122&lt;&gt;"",T122&lt;&gt;""),"COMPLETE","MISSING FIELDS")))</f>
        <v/>
      </c>
    </row>
    <row r="123" customFormat="false" ht="15" hidden="false" customHeight="tru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2" t="str">
        <f aca="false">IF(A123="","",IF(COUNTIF($A$5:$A$154,A123)&gt;1,"DUPLICATE","UNIQUE"))</f>
        <v/>
      </c>
      <c r="W123" s="12" t="str">
        <f aca="false">IF(A123="","",IF(T123="Rejected","REJECTED",IF(AND(B123&lt;&gt;"",C123&lt;&gt;"",D123&lt;&gt;"",E123&lt;&gt;"",F123&lt;&gt;"",G123&lt;&gt;"",H123&lt;&gt;"",I123&lt;&gt;"",J123&lt;&gt;"",M123&lt;&gt;"",O123&lt;&gt;"",T123&lt;&gt;""),"COMPLETE","MISSING FIELDS")))</f>
        <v/>
      </c>
    </row>
    <row r="124" customFormat="false" ht="15" hidden="false" customHeight="tru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2" t="str">
        <f aca="false">IF(A124="","",IF(COUNTIF($A$5:$A$154,A124)&gt;1,"DUPLICATE","UNIQUE"))</f>
        <v/>
      </c>
      <c r="W124" s="12" t="str">
        <f aca="false">IF(A124="","",IF(T124="Rejected","REJECTED",IF(AND(B124&lt;&gt;"",C124&lt;&gt;"",D124&lt;&gt;"",E124&lt;&gt;"",F124&lt;&gt;"",G124&lt;&gt;"",H124&lt;&gt;"",I124&lt;&gt;"",J124&lt;&gt;"",M124&lt;&gt;"",O124&lt;&gt;"",T124&lt;&gt;""),"COMPLETE","MISSING FIELDS")))</f>
        <v/>
      </c>
    </row>
    <row r="125" customFormat="false" ht="15" hidden="false" customHeight="tru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2" t="str">
        <f aca="false">IF(A125="","",IF(COUNTIF($A$5:$A$154,A125)&gt;1,"DUPLICATE","UNIQUE"))</f>
        <v/>
      </c>
      <c r="W125" s="12" t="str">
        <f aca="false">IF(A125="","",IF(T125="Rejected","REJECTED",IF(AND(B125&lt;&gt;"",C125&lt;&gt;"",D125&lt;&gt;"",E125&lt;&gt;"",F125&lt;&gt;"",G125&lt;&gt;"",H125&lt;&gt;"",I125&lt;&gt;"",J125&lt;&gt;"",M125&lt;&gt;"",O125&lt;&gt;"",T125&lt;&gt;""),"COMPLETE","MISSING FIELDS")))</f>
        <v/>
      </c>
    </row>
    <row r="126" customFormat="false" ht="15" hidden="false" customHeight="tru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2" t="str">
        <f aca="false">IF(A126="","",IF(COUNTIF($A$5:$A$154,A126)&gt;1,"DUPLICATE","UNIQUE"))</f>
        <v/>
      </c>
      <c r="W126" s="12" t="str">
        <f aca="false">IF(A126="","",IF(T126="Rejected","REJECTED",IF(AND(B126&lt;&gt;"",C126&lt;&gt;"",D126&lt;&gt;"",E126&lt;&gt;"",F126&lt;&gt;"",G126&lt;&gt;"",H126&lt;&gt;"",I126&lt;&gt;"",J126&lt;&gt;"",M126&lt;&gt;"",O126&lt;&gt;"",T126&lt;&gt;""),"COMPLETE","MISSING FIELDS")))</f>
        <v/>
      </c>
    </row>
    <row r="127" customFormat="false" ht="15" hidden="false" customHeight="tru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2" t="str">
        <f aca="false">IF(A127="","",IF(COUNTIF($A$5:$A$154,A127)&gt;1,"DUPLICATE","UNIQUE"))</f>
        <v/>
      </c>
      <c r="W127" s="12" t="str">
        <f aca="false">IF(A127="","",IF(T127="Rejected","REJECTED",IF(AND(B127&lt;&gt;"",C127&lt;&gt;"",D127&lt;&gt;"",E127&lt;&gt;"",F127&lt;&gt;"",G127&lt;&gt;"",H127&lt;&gt;"",I127&lt;&gt;"",J127&lt;&gt;"",M127&lt;&gt;"",O127&lt;&gt;"",T127&lt;&gt;""),"COMPLETE","MISSING FIELDS")))</f>
        <v/>
      </c>
    </row>
    <row r="128" customFormat="false" ht="15" hidden="false" customHeight="tru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2" t="str">
        <f aca="false">IF(A128="","",IF(COUNTIF($A$5:$A$154,A128)&gt;1,"DUPLICATE","UNIQUE"))</f>
        <v/>
      </c>
      <c r="W128" s="12" t="str">
        <f aca="false">IF(A128="","",IF(T128="Rejected","REJECTED",IF(AND(B128&lt;&gt;"",C128&lt;&gt;"",D128&lt;&gt;"",E128&lt;&gt;"",F128&lt;&gt;"",G128&lt;&gt;"",H128&lt;&gt;"",I128&lt;&gt;"",J128&lt;&gt;"",M128&lt;&gt;"",O128&lt;&gt;"",T128&lt;&gt;""),"COMPLETE","MISSING FIELDS")))</f>
        <v/>
      </c>
    </row>
    <row r="129" customFormat="false" ht="15" hidden="false" customHeight="tru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2" t="str">
        <f aca="false">IF(A129="","",IF(COUNTIF($A$5:$A$154,A129)&gt;1,"DUPLICATE","UNIQUE"))</f>
        <v/>
      </c>
      <c r="W129" s="12" t="str">
        <f aca="false">IF(A129="","",IF(T129="Rejected","REJECTED",IF(AND(B129&lt;&gt;"",C129&lt;&gt;"",D129&lt;&gt;"",E129&lt;&gt;"",F129&lt;&gt;"",G129&lt;&gt;"",H129&lt;&gt;"",I129&lt;&gt;"",J129&lt;&gt;"",M129&lt;&gt;"",O129&lt;&gt;"",T129&lt;&gt;""),"COMPLETE","MISSING FIELDS")))</f>
        <v/>
      </c>
    </row>
    <row r="130" customFormat="false" ht="15" hidden="false" customHeight="tru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2" t="str">
        <f aca="false">IF(A130="","",IF(COUNTIF($A$5:$A$154,A130)&gt;1,"DUPLICATE","UNIQUE"))</f>
        <v/>
      </c>
      <c r="W130" s="12" t="str">
        <f aca="false">IF(A130="","",IF(T130="Rejected","REJECTED",IF(AND(B130&lt;&gt;"",C130&lt;&gt;"",D130&lt;&gt;"",E130&lt;&gt;"",F130&lt;&gt;"",G130&lt;&gt;"",H130&lt;&gt;"",I130&lt;&gt;"",J130&lt;&gt;"",M130&lt;&gt;"",O130&lt;&gt;"",T130&lt;&gt;""),"COMPLETE","MISSING FIELDS")))</f>
        <v/>
      </c>
    </row>
    <row r="131" customFormat="false" ht="15" hidden="false" customHeight="tru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2" t="str">
        <f aca="false">IF(A131="","",IF(COUNTIF($A$5:$A$154,A131)&gt;1,"DUPLICATE","UNIQUE"))</f>
        <v/>
      </c>
      <c r="W131" s="12" t="str">
        <f aca="false">IF(A131="","",IF(T131="Rejected","REJECTED",IF(AND(B131&lt;&gt;"",C131&lt;&gt;"",D131&lt;&gt;"",E131&lt;&gt;"",F131&lt;&gt;"",G131&lt;&gt;"",H131&lt;&gt;"",I131&lt;&gt;"",J131&lt;&gt;"",M131&lt;&gt;"",O131&lt;&gt;"",T131&lt;&gt;""),"COMPLETE","MISSING FIELDS")))</f>
        <v/>
      </c>
    </row>
    <row r="132" customFormat="false" ht="15" hidden="false" customHeight="tru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2" t="str">
        <f aca="false">IF(A132="","",IF(COUNTIF($A$5:$A$154,A132)&gt;1,"DUPLICATE","UNIQUE"))</f>
        <v/>
      </c>
      <c r="W132" s="12" t="str">
        <f aca="false">IF(A132="","",IF(T132="Rejected","REJECTED",IF(AND(B132&lt;&gt;"",C132&lt;&gt;"",D132&lt;&gt;"",E132&lt;&gt;"",F132&lt;&gt;"",G132&lt;&gt;"",H132&lt;&gt;"",I132&lt;&gt;"",J132&lt;&gt;"",M132&lt;&gt;"",O132&lt;&gt;"",T132&lt;&gt;""),"COMPLETE","MISSING FIELDS")))</f>
        <v/>
      </c>
    </row>
    <row r="133" customFormat="false" ht="15" hidden="false" customHeight="tru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2" t="str">
        <f aca="false">IF(A133="","",IF(COUNTIF($A$5:$A$154,A133)&gt;1,"DUPLICATE","UNIQUE"))</f>
        <v/>
      </c>
      <c r="W133" s="12" t="str">
        <f aca="false">IF(A133="","",IF(T133="Rejected","REJECTED",IF(AND(B133&lt;&gt;"",C133&lt;&gt;"",D133&lt;&gt;"",E133&lt;&gt;"",F133&lt;&gt;"",G133&lt;&gt;"",H133&lt;&gt;"",I133&lt;&gt;"",J133&lt;&gt;"",M133&lt;&gt;"",O133&lt;&gt;"",T133&lt;&gt;""),"COMPLETE","MISSING FIELDS")))</f>
        <v/>
      </c>
    </row>
    <row r="134" customFormat="false" ht="15" hidden="false" customHeight="tru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2" t="str">
        <f aca="false">IF(A134="","",IF(COUNTIF($A$5:$A$154,A134)&gt;1,"DUPLICATE","UNIQUE"))</f>
        <v/>
      </c>
      <c r="W134" s="12" t="str">
        <f aca="false">IF(A134="","",IF(T134="Rejected","REJECTED",IF(AND(B134&lt;&gt;"",C134&lt;&gt;"",D134&lt;&gt;"",E134&lt;&gt;"",F134&lt;&gt;"",G134&lt;&gt;"",H134&lt;&gt;"",I134&lt;&gt;"",J134&lt;&gt;"",M134&lt;&gt;"",O134&lt;&gt;"",T134&lt;&gt;""),"COMPLETE","MISSING FIELDS")))</f>
        <v/>
      </c>
    </row>
    <row r="135" customFormat="false" ht="15" hidden="false" customHeight="tru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2" t="str">
        <f aca="false">IF(A135="","",IF(COUNTIF($A$5:$A$154,A135)&gt;1,"DUPLICATE","UNIQUE"))</f>
        <v/>
      </c>
      <c r="W135" s="12" t="str">
        <f aca="false">IF(A135="","",IF(T135="Rejected","REJECTED",IF(AND(B135&lt;&gt;"",C135&lt;&gt;"",D135&lt;&gt;"",E135&lt;&gt;"",F135&lt;&gt;"",G135&lt;&gt;"",H135&lt;&gt;"",I135&lt;&gt;"",J135&lt;&gt;"",M135&lt;&gt;"",O135&lt;&gt;"",T135&lt;&gt;""),"COMPLETE","MISSING FIELDS")))</f>
        <v/>
      </c>
    </row>
    <row r="136" customFormat="false" ht="15" hidden="false" customHeight="tru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2" t="str">
        <f aca="false">IF(A136="","",IF(COUNTIF($A$5:$A$154,A136)&gt;1,"DUPLICATE","UNIQUE"))</f>
        <v/>
      </c>
      <c r="W136" s="12" t="str">
        <f aca="false">IF(A136="","",IF(T136="Rejected","REJECTED",IF(AND(B136&lt;&gt;"",C136&lt;&gt;"",D136&lt;&gt;"",E136&lt;&gt;"",F136&lt;&gt;"",G136&lt;&gt;"",H136&lt;&gt;"",I136&lt;&gt;"",J136&lt;&gt;"",M136&lt;&gt;"",O136&lt;&gt;"",T136&lt;&gt;""),"COMPLETE","MISSING FIELDS")))</f>
        <v/>
      </c>
    </row>
    <row r="137" customFormat="false" ht="15" hidden="false" customHeight="tru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2" t="str">
        <f aca="false">IF(A137="","",IF(COUNTIF($A$5:$A$154,A137)&gt;1,"DUPLICATE","UNIQUE"))</f>
        <v/>
      </c>
      <c r="W137" s="12" t="str">
        <f aca="false">IF(A137="","",IF(T137="Rejected","REJECTED",IF(AND(B137&lt;&gt;"",C137&lt;&gt;"",D137&lt;&gt;"",E137&lt;&gt;"",F137&lt;&gt;"",G137&lt;&gt;"",H137&lt;&gt;"",I137&lt;&gt;"",J137&lt;&gt;"",M137&lt;&gt;"",O137&lt;&gt;"",T137&lt;&gt;""),"COMPLETE","MISSING FIELDS")))</f>
        <v/>
      </c>
    </row>
    <row r="138" customFormat="false" ht="15" hidden="false" customHeight="tru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2" t="str">
        <f aca="false">IF(A138="","",IF(COUNTIF($A$5:$A$154,A138)&gt;1,"DUPLICATE","UNIQUE"))</f>
        <v/>
      </c>
      <c r="W138" s="12" t="str">
        <f aca="false">IF(A138="","",IF(T138="Rejected","REJECTED",IF(AND(B138&lt;&gt;"",C138&lt;&gt;"",D138&lt;&gt;"",E138&lt;&gt;"",F138&lt;&gt;"",G138&lt;&gt;"",H138&lt;&gt;"",I138&lt;&gt;"",J138&lt;&gt;"",M138&lt;&gt;"",O138&lt;&gt;"",T138&lt;&gt;""),"COMPLETE","MISSING FIELDS")))</f>
        <v/>
      </c>
    </row>
    <row r="139" customFormat="false" ht="15" hidden="false" customHeight="tru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2" t="str">
        <f aca="false">IF(A139="","",IF(COUNTIF($A$5:$A$154,A139)&gt;1,"DUPLICATE","UNIQUE"))</f>
        <v/>
      </c>
      <c r="W139" s="12" t="str">
        <f aca="false">IF(A139="","",IF(T139="Rejected","REJECTED",IF(AND(B139&lt;&gt;"",C139&lt;&gt;"",D139&lt;&gt;"",E139&lt;&gt;"",F139&lt;&gt;"",G139&lt;&gt;"",H139&lt;&gt;"",I139&lt;&gt;"",J139&lt;&gt;"",M139&lt;&gt;"",O139&lt;&gt;"",T139&lt;&gt;""),"COMPLETE","MISSING FIELDS")))</f>
        <v/>
      </c>
    </row>
    <row r="140" customFormat="false" ht="15" hidden="false" customHeight="tru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2" t="str">
        <f aca="false">IF(A140="","",IF(COUNTIF($A$5:$A$154,A140)&gt;1,"DUPLICATE","UNIQUE"))</f>
        <v/>
      </c>
      <c r="W140" s="12" t="str">
        <f aca="false">IF(A140="","",IF(T140="Rejected","REJECTED",IF(AND(B140&lt;&gt;"",C140&lt;&gt;"",D140&lt;&gt;"",E140&lt;&gt;"",F140&lt;&gt;"",G140&lt;&gt;"",H140&lt;&gt;"",I140&lt;&gt;"",J140&lt;&gt;"",M140&lt;&gt;"",O140&lt;&gt;"",T140&lt;&gt;""),"COMPLETE","MISSING FIELDS")))</f>
        <v/>
      </c>
    </row>
    <row r="141" customFormat="false" ht="15" hidden="false" customHeight="tru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2" t="str">
        <f aca="false">IF(A141="","",IF(COUNTIF($A$5:$A$154,A141)&gt;1,"DUPLICATE","UNIQUE"))</f>
        <v/>
      </c>
      <c r="W141" s="12" t="str">
        <f aca="false">IF(A141="","",IF(T141="Rejected","REJECTED",IF(AND(B141&lt;&gt;"",C141&lt;&gt;"",D141&lt;&gt;"",E141&lt;&gt;"",F141&lt;&gt;"",G141&lt;&gt;"",H141&lt;&gt;"",I141&lt;&gt;"",J141&lt;&gt;"",M141&lt;&gt;"",O141&lt;&gt;"",T141&lt;&gt;""),"COMPLETE","MISSING FIELDS")))</f>
        <v/>
      </c>
    </row>
    <row r="142" customFormat="false" ht="15" hidden="false" customHeight="tru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2" t="str">
        <f aca="false">IF(A142="","",IF(COUNTIF($A$5:$A$154,A142)&gt;1,"DUPLICATE","UNIQUE"))</f>
        <v/>
      </c>
      <c r="W142" s="12" t="str">
        <f aca="false">IF(A142="","",IF(T142="Rejected","REJECTED",IF(AND(B142&lt;&gt;"",C142&lt;&gt;"",D142&lt;&gt;"",E142&lt;&gt;"",F142&lt;&gt;"",G142&lt;&gt;"",H142&lt;&gt;"",I142&lt;&gt;"",J142&lt;&gt;"",M142&lt;&gt;"",O142&lt;&gt;"",T142&lt;&gt;""),"COMPLETE","MISSING FIELDS")))</f>
        <v/>
      </c>
    </row>
    <row r="143" customFormat="false" ht="15" hidden="false" customHeight="tru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2" t="str">
        <f aca="false">IF(A143="","",IF(COUNTIF($A$5:$A$154,A143)&gt;1,"DUPLICATE","UNIQUE"))</f>
        <v/>
      </c>
      <c r="W143" s="12" t="str">
        <f aca="false">IF(A143="","",IF(T143="Rejected","REJECTED",IF(AND(B143&lt;&gt;"",C143&lt;&gt;"",D143&lt;&gt;"",E143&lt;&gt;"",F143&lt;&gt;"",G143&lt;&gt;"",H143&lt;&gt;"",I143&lt;&gt;"",J143&lt;&gt;"",M143&lt;&gt;"",O143&lt;&gt;"",T143&lt;&gt;""),"COMPLETE","MISSING FIELDS")))</f>
        <v/>
      </c>
    </row>
    <row r="144" customFormat="false" ht="15" hidden="false" customHeight="tru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2" t="str">
        <f aca="false">IF(A144="","",IF(COUNTIF($A$5:$A$154,A144)&gt;1,"DUPLICATE","UNIQUE"))</f>
        <v/>
      </c>
      <c r="W144" s="12" t="str">
        <f aca="false">IF(A144="","",IF(T144="Rejected","REJECTED",IF(AND(B144&lt;&gt;"",C144&lt;&gt;"",D144&lt;&gt;"",E144&lt;&gt;"",F144&lt;&gt;"",G144&lt;&gt;"",H144&lt;&gt;"",I144&lt;&gt;"",J144&lt;&gt;"",M144&lt;&gt;"",O144&lt;&gt;"",T144&lt;&gt;""),"COMPLETE","MISSING FIELDS")))</f>
        <v/>
      </c>
    </row>
    <row r="145" customFormat="false" ht="15" hidden="false" customHeight="tru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2" t="str">
        <f aca="false">IF(A145="","",IF(COUNTIF($A$5:$A$154,A145)&gt;1,"DUPLICATE","UNIQUE"))</f>
        <v/>
      </c>
      <c r="W145" s="12" t="str">
        <f aca="false">IF(A145="","",IF(T145="Rejected","REJECTED",IF(AND(B145&lt;&gt;"",C145&lt;&gt;"",D145&lt;&gt;"",E145&lt;&gt;"",F145&lt;&gt;"",G145&lt;&gt;"",H145&lt;&gt;"",I145&lt;&gt;"",J145&lt;&gt;"",M145&lt;&gt;"",O145&lt;&gt;"",T145&lt;&gt;""),"COMPLETE","MISSING FIELDS")))</f>
        <v/>
      </c>
    </row>
    <row r="146" customFormat="false" ht="15" hidden="false" customHeight="tru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2" t="str">
        <f aca="false">IF(A146="","",IF(COUNTIF($A$5:$A$154,A146)&gt;1,"DUPLICATE","UNIQUE"))</f>
        <v/>
      </c>
      <c r="W146" s="12" t="str">
        <f aca="false">IF(A146="","",IF(T146="Rejected","REJECTED",IF(AND(B146&lt;&gt;"",C146&lt;&gt;"",D146&lt;&gt;"",E146&lt;&gt;"",F146&lt;&gt;"",G146&lt;&gt;"",H146&lt;&gt;"",I146&lt;&gt;"",J146&lt;&gt;"",M146&lt;&gt;"",O146&lt;&gt;"",T146&lt;&gt;""),"COMPLETE","MISSING FIELDS")))</f>
        <v/>
      </c>
    </row>
    <row r="147" customFormat="false" ht="15" hidden="false" customHeight="tru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2" t="str">
        <f aca="false">IF(A147="","",IF(COUNTIF($A$5:$A$154,A147)&gt;1,"DUPLICATE","UNIQUE"))</f>
        <v/>
      </c>
      <c r="W147" s="12" t="str">
        <f aca="false">IF(A147="","",IF(T147="Rejected","REJECTED",IF(AND(B147&lt;&gt;"",C147&lt;&gt;"",D147&lt;&gt;"",E147&lt;&gt;"",F147&lt;&gt;"",G147&lt;&gt;"",H147&lt;&gt;"",I147&lt;&gt;"",J147&lt;&gt;"",M147&lt;&gt;"",O147&lt;&gt;"",T147&lt;&gt;""),"COMPLETE","MISSING FIELDS")))</f>
        <v/>
      </c>
    </row>
    <row r="148" customFormat="false" ht="15" hidden="false" customHeight="tru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2" t="str">
        <f aca="false">IF(A148="","",IF(COUNTIF($A$5:$A$154,A148)&gt;1,"DUPLICATE","UNIQUE"))</f>
        <v/>
      </c>
      <c r="W148" s="12" t="str">
        <f aca="false">IF(A148="","",IF(T148="Rejected","REJECTED",IF(AND(B148&lt;&gt;"",C148&lt;&gt;"",D148&lt;&gt;"",E148&lt;&gt;"",F148&lt;&gt;"",G148&lt;&gt;"",H148&lt;&gt;"",I148&lt;&gt;"",J148&lt;&gt;"",M148&lt;&gt;"",O148&lt;&gt;"",T148&lt;&gt;""),"COMPLETE","MISSING FIELDS")))</f>
        <v/>
      </c>
    </row>
    <row r="149" customFormat="false" ht="15" hidden="false" customHeight="tru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2" t="str">
        <f aca="false">IF(A149="","",IF(COUNTIF($A$5:$A$154,A149)&gt;1,"DUPLICATE","UNIQUE"))</f>
        <v/>
      </c>
      <c r="W149" s="12" t="str">
        <f aca="false">IF(A149="","",IF(T149="Rejected","REJECTED",IF(AND(B149&lt;&gt;"",C149&lt;&gt;"",D149&lt;&gt;"",E149&lt;&gt;"",F149&lt;&gt;"",G149&lt;&gt;"",H149&lt;&gt;"",I149&lt;&gt;"",J149&lt;&gt;"",M149&lt;&gt;"",O149&lt;&gt;"",T149&lt;&gt;""),"COMPLETE","MISSING FIELDS")))</f>
        <v/>
      </c>
    </row>
    <row r="150" customFormat="false" ht="15" hidden="false" customHeight="tru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2" t="str">
        <f aca="false">IF(A150="","",IF(COUNTIF($A$5:$A$154,A150)&gt;1,"DUPLICATE","UNIQUE"))</f>
        <v/>
      </c>
      <c r="W150" s="12" t="str">
        <f aca="false">IF(A150="","",IF(T150="Rejected","REJECTED",IF(AND(B150&lt;&gt;"",C150&lt;&gt;"",D150&lt;&gt;"",E150&lt;&gt;"",F150&lt;&gt;"",G150&lt;&gt;"",H150&lt;&gt;"",I150&lt;&gt;"",J150&lt;&gt;"",M150&lt;&gt;"",O150&lt;&gt;"",T150&lt;&gt;""),"COMPLETE","MISSING FIELDS")))</f>
        <v/>
      </c>
    </row>
    <row r="151" customFormat="false" ht="15" hidden="false" customHeight="tru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2" t="str">
        <f aca="false">IF(A151="","",IF(COUNTIF($A$5:$A$154,A151)&gt;1,"DUPLICATE","UNIQUE"))</f>
        <v/>
      </c>
      <c r="W151" s="12" t="str">
        <f aca="false">IF(A151="","",IF(T151="Rejected","REJECTED",IF(AND(B151&lt;&gt;"",C151&lt;&gt;"",D151&lt;&gt;"",E151&lt;&gt;"",F151&lt;&gt;"",G151&lt;&gt;"",H151&lt;&gt;"",I151&lt;&gt;"",J151&lt;&gt;"",M151&lt;&gt;"",O151&lt;&gt;"",T151&lt;&gt;""),"COMPLETE","MISSING FIELDS")))</f>
        <v/>
      </c>
    </row>
    <row r="152" customFormat="false" ht="15" hidden="false" customHeight="tru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2" t="str">
        <f aca="false">IF(A152="","",IF(COUNTIF($A$5:$A$154,A152)&gt;1,"DUPLICATE","UNIQUE"))</f>
        <v/>
      </c>
      <c r="W152" s="12" t="str">
        <f aca="false">IF(A152="","",IF(T152="Rejected","REJECTED",IF(AND(B152&lt;&gt;"",C152&lt;&gt;"",D152&lt;&gt;"",E152&lt;&gt;"",F152&lt;&gt;"",G152&lt;&gt;"",H152&lt;&gt;"",I152&lt;&gt;"",J152&lt;&gt;"",M152&lt;&gt;"",O152&lt;&gt;"",T152&lt;&gt;""),"COMPLETE","MISSING FIELDS")))</f>
        <v/>
      </c>
    </row>
    <row r="153" customFormat="false" ht="15" hidden="false" customHeight="tru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2" t="str">
        <f aca="false">IF(A153="","",IF(COUNTIF($A$5:$A$154,A153)&gt;1,"DUPLICATE","UNIQUE"))</f>
        <v/>
      </c>
      <c r="W153" s="12" t="str">
        <f aca="false">IF(A153="","",IF(T153="Rejected","REJECTED",IF(AND(B153&lt;&gt;"",C153&lt;&gt;"",D153&lt;&gt;"",E153&lt;&gt;"",F153&lt;&gt;"",G153&lt;&gt;"",H153&lt;&gt;"",I153&lt;&gt;"",J153&lt;&gt;"",M153&lt;&gt;"",O153&lt;&gt;"",T153&lt;&gt;""),"COMPLETE","MISSING FIELDS")))</f>
        <v/>
      </c>
    </row>
    <row r="154" customFormat="false" ht="15" hidden="false" customHeight="tru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2" t="str">
        <f aca="false">IF(A154="","",IF(COUNTIF($A$5:$A$154,A154)&gt;1,"DUPLICATE","UNIQUE"))</f>
        <v/>
      </c>
      <c r="W154" s="12" t="str">
        <f aca="false">IF(A154="","",IF(T154="Rejected","REJECTED",IF(AND(B154&lt;&gt;"",C154&lt;&gt;"",D154&lt;&gt;"",E154&lt;&gt;"",F154&lt;&gt;"",G154&lt;&gt;"",H154&lt;&gt;"",I154&lt;&gt;"",J154&lt;&gt;"",M154&lt;&gt;"",O154&lt;&gt;"",T154&lt;&gt;""),"COMPLETE","MISSING FIELDS")))</f>
        <v/>
      </c>
    </row>
  </sheetData>
  <mergeCells count="2">
    <mergeCell ref="A1:W1"/>
    <mergeCell ref="A2:W2"/>
  </mergeCells>
  <conditionalFormatting sqref="V5:W154">
    <cfRule type="expression" priority="2" aboveAverage="0" equalAverage="0" bottom="0" percent="0" rank="0" text="" dxfId="0">
      <formula>OR(V5="DUPLICATE",W5="MISSING FIELDS",W5="ADD REASON")</formula>
    </cfRule>
  </conditionalFormatting>
  <dataValidations count="5">
    <dataValidation allowBlank="true" errorStyle="stop" operator="between" showDropDown="false" showErrorMessage="false" showInputMessage="false" sqref="B5:B154" type="list">
      <formula1>"LinkedIn,Instagram,YouTube Shorts,TikTok,X,Threads,Facebook,Reddit"</formula1>
      <formula2>0</formula2>
    </dataValidation>
    <dataValidation allowBlank="true" errorStyle="stop" operator="between" showDropDown="false" showErrorMessage="false" showInputMessage="false" sqref="C5:C154" type="list">
      <formula1>"Short video,Carousel,Graphic,Text post,Thread,Long video"</formula1>
      <formula2>0</formula2>
    </dataValidation>
    <dataValidation allowBlank="true" errorStyle="stop" operator="between" showDropDown="false" showErrorMessage="false" showInputMessage="false" sqref="M5:M154" type="list">
      <formula1>"Yes,No"</formula1>
      <formula2>0</formula2>
    </dataValidation>
    <dataValidation allowBlank="true" errorStyle="stop" operator="between" showDropDown="false" showErrorMessage="false" showInputMessage="false" sqref="N5:N154" type="list">
      <formula1>"Yes,No"</formula1>
      <formula2>0</formula2>
    </dataValidation>
    <dataValidation allowBlank="true" errorStyle="stop" operator="between" showDropDown="false" showErrorMessage="false" showInputMessage="false" sqref="T5:T154" type="list">
      <formula1>"Ready,Draft"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40"/>
    <col collapsed="false" customWidth="true" hidden="false" outlineLevel="0" max="7" min="4" style="1" width="14"/>
    <col collapsed="false" customWidth="true" hidden="false" outlineLevel="0" max="8" min="8" style="1" width="30"/>
  </cols>
  <sheetData>
    <row r="1" customFormat="false" ht="24" hidden="false" customHeight="true" outlineLevel="0" collapsed="false">
      <c r="A1" s="2" t="s">
        <v>390</v>
      </c>
      <c r="B1" s="2"/>
      <c r="C1" s="2"/>
      <c r="D1" s="2"/>
      <c r="E1" s="2"/>
      <c r="F1" s="2"/>
      <c r="G1" s="2"/>
      <c r="H1" s="2"/>
    </row>
    <row r="2" customFormat="false" ht="31.5" hidden="false" customHeight="true" outlineLevel="0" collapsed="false">
      <c r="A2" s="3" t="s">
        <v>391</v>
      </c>
      <c r="B2" s="3"/>
      <c r="C2" s="3"/>
      <c r="D2" s="3"/>
      <c r="E2" s="3"/>
      <c r="F2" s="3"/>
      <c r="G2" s="3"/>
      <c r="H2" s="3"/>
    </row>
    <row r="4" customFormat="false" ht="15" hidden="false" customHeight="true" outlineLevel="0" collapsed="false">
      <c r="A4" s="4" t="s">
        <v>392</v>
      </c>
      <c r="B4" s="4"/>
      <c r="C4" s="4"/>
      <c r="D4" s="4"/>
      <c r="E4" s="4"/>
      <c r="F4" s="4"/>
      <c r="G4" s="4"/>
      <c r="H4" s="4"/>
    </row>
    <row r="5" customFormat="false" ht="30" hidden="false" customHeight="true" outlineLevel="0" collapsed="false">
      <c r="A5" s="5" t="s">
        <v>393</v>
      </c>
      <c r="B5" s="5" t="s">
        <v>394</v>
      </c>
      <c r="C5" s="5" t="s">
        <v>395</v>
      </c>
      <c r="D5" s="5"/>
      <c r="E5" s="5"/>
      <c r="F5" s="5"/>
      <c r="G5" s="5"/>
      <c r="H5" s="5" t="s">
        <v>396</v>
      </c>
    </row>
    <row r="6" customFormat="false" ht="15" hidden="false" customHeight="true" outlineLevel="0" collapsed="false">
      <c r="A6" s="8" t="s">
        <v>397</v>
      </c>
      <c r="B6" s="7" t="s">
        <v>132</v>
      </c>
      <c r="C6" s="7" t="s">
        <v>398</v>
      </c>
      <c r="H6" s="7" t="s">
        <v>399</v>
      </c>
    </row>
    <row r="7" customFormat="false" ht="15" hidden="false" customHeight="true" outlineLevel="0" collapsed="false">
      <c r="A7" s="8" t="s">
        <v>400</v>
      </c>
      <c r="B7" s="7" t="s">
        <v>401</v>
      </c>
      <c r="C7" s="7" t="s">
        <v>402</v>
      </c>
      <c r="H7" s="7" t="s">
        <v>403</v>
      </c>
    </row>
    <row r="8" customFormat="false" ht="15" hidden="false" customHeight="true" outlineLevel="0" collapsed="false">
      <c r="A8" s="8" t="s">
        <v>404</v>
      </c>
      <c r="B8" s="7" t="s">
        <v>132</v>
      </c>
      <c r="C8" s="7" t="s">
        <v>405</v>
      </c>
      <c r="H8" s="7" t="s">
        <v>406</v>
      </c>
    </row>
    <row r="9" customFormat="false" ht="15" hidden="false" customHeight="true" outlineLevel="0" collapsed="false">
      <c r="A9" s="8" t="s">
        <v>407</v>
      </c>
      <c r="B9" s="7" t="s">
        <v>132</v>
      </c>
      <c r="C9" s="7" t="s">
        <v>408</v>
      </c>
      <c r="H9" s="7" t="s">
        <v>409</v>
      </c>
    </row>
    <row r="10" customFormat="false" ht="15" hidden="false" customHeight="true" outlineLevel="0" collapsed="false">
      <c r="A10" s="8" t="s">
        <v>410</v>
      </c>
      <c r="B10" s="7" t="s">
        <v>132</v>
      </c>
      <c r="C10" s="7" t="s">
        <v>411</v>
      </c>
      <c r="H10" s="7" t="s">
        <v>412</v>
      </c>
    </row>
    <row r="11" customFormat="false" ht="23.25" hidden="false" customHeight="true" outlineLevel="0" collapsed="false">
      <c r="A11" s="8" t="s">
        <v>413</v>
      </c>
      <c r="B11" s="7" t="s">
        <v>132</v>
      </c>
      <c r="C11" s="7" t="s">
        <v>414</v>
      </c>
      <c r="H11" s="7" t="s">
        <v>415</v>
      </c>
    </row>
    <row r="12" customFormat="false" ht="15" hidden="false" customHeight="true" outlineLevel="0" collapsed="false">
      <c r="A12" s="8" t="s">
        <v>416</v>
      </c>
      <c r="B12" s="7" t="s">
        <v>132</v>
      </c>
      <c r="C12" s="7" t="s">
        <v>417</v>
      </c>
      <c r="H12" s="7" t="s">
        <v>418</v>
      </c>
    </row>
    <row r="13" customFormat="false" ht="15" hidden="false" customHeight="true" outlineLevel="0" collapsed="false">
      <c r="A13" s="8" t="s">
        <v>419</v>
      </c>
      <c r="B13" s="7" t="s">
        <v>132</v>
      </c>
      <c r="C13" s="7" t="s">
        <v>420</v>
      </c>
      <c r="H13" s="7" t="s">
        <v>421</v>
      </c>
    </row>
    <row r="14" customFormat="false" ht="15" hidden="false" customHeight="true" outlineLevel="0" collapsed="false">
      <c r="A14" s="8" t="s">
        <v>422</v>
      </c>
      <c r="B14" s="7" t="s">
        <v>132</v>
      </c>
      <c r="C14" s="7" t="s">
        <v>423</v>
      </c>
      <c r="H14" s="7" t="s">
        <v>424</v>
      </c>
    </row>
    <row r="16" customFormat="false" ht="15" hidden="false" customHeight="true" outlineLevel="0" collapsed="false">
      <c r="A16" s="4" t="s">
        <v>425</v>
      </c>
      <c r="B16" s="4"/>
      <c r="C16" s="4"/>
      <c r="D16" s="4"/>
      <c r="E16" s="4"/>
      <c r="F16" s="4"/>
      <c r="G16" s="4"/>
      <c r="H16" s="4"/>
    </row>
    <row r="17" customFormat="false" ht="30" hidden="false" customHeight="true" outlineLevel="0" collapsed="false">
      <c r="A17" s="5" t="s">
        <v>426</v>
      </c>
      <c r="B17" s="5" t="s">
        <v>427</v>
      </c>
      <c r="C17" s="5" t="s">
        <v>428</v>
      </c>
      <c r="D17" s="5" t="s">
        <v>429</v>
      </c>
      <c r="E17" s="5" t="s">
        <v>430</v>
      </c>
      <c r="F17" s="5" t="s">
        <v>431</v>
      </c>
      <c r="G17" s="5" t="s">
        <v>432</v>
      </c>
      <c r="H17" s="5" t="s">
        <v>433</v>
      </c>
    </row>
    <row r="18" customFormat="false" ht="15" hidden="false" customHeight="true" outlineLevel="0" collapsed="false">
      <c r="A18" s="6" t="s">
        <v>434</v>
      </c>
      <c r="B18" s="7" t="s">
        <v>435</v>
      </c>
      <c r="C18" s="7" t="n">
        <v>20</v>
      </c>
      <c r="D18" s="7" t="n">
        <v>0</v>
      </c>
      <c r="E18" s="7" t="n">
        <v>0</v>
      </c>
      <c r="F18" s="7" t="n">
        <v>0.98</v>
      </c>
      <c r="G18" s="7" t="s">
        <v>436</v>
      </c>
      <c r="H18" s="7" t="s">
        <v>437</v>
      </c>
    </row>
    <row r="19" customFormat="false" ht="15" hidden="false" customHeight="true" outlineLevel="0" collapsed="false">
      <c r="A19" s="6" t="s">
        <v>438</v>
      </c>
      <c r="B19" s="7" t="s">
        <v>439</v>
      </c>
      <c r="C19" s="7" t="s">
        <v>440</v>
      </c>
      <c r="D19" s="7" t="n">
        <v>0</v>
      </c>
      <c r="E19" s="7" t="n">
        <v>0</v>
      </c>
      <c r="F19" s="7" t="n">
        <v>0</v>
      </c>
      <c r="G19" s="7" t="s">
        <v>441</v>
      </c>
      <c r="H19" s="7" t="s">
        <v>442</v>
      </c>
    </row>
    <row r="20" customFormat="false" ht="15" hidden="false" customHeight="true" outlineLevel="0" collapsed="false">
      <c r="A20" s="6" t="s">
        <v>443</v>
      </c>
      <c r="B20" s="7" t="s">
        <v>444</v>
      </c>
      <c r="C20" s="7" t="s">
        <v>445</v>
      </c>
      <c r="D20" s="7" t="n">
        <v>0</v>
      </c>
      <c r="E20" s="7" t="n">
        <v>0</v>
      </c>
      <c r="F20" s="7" t="n">
        <v>0</v>
      </c>
      <c r="G20" s="7" t="s">
        <v>441</v>
      </c>
      <c r="H20" s="7" t="s">
        <v>414</v>
      </c>
    </row>
    <row r="21" customFormat="false" ht="15" hidden="false" customHeight="true" outlineLevel="0" collapsed="false">
      <c r="A21" s="6" t="s">
        <v>446</v>
      </c>
      <c r="B21" s="7" t="s">
        <v>447</v>
      </c>
      <c r="C21" s="7" t="s">
        <v>448</v>
      </c>
      <c r="D21" s="7" t="n">
        <v>1</v>
      </c>
      <c r="E21" s="7" t="n">
        <v>0</v>
      </c>
      <c r="F21" s="7" t="s">
        <v>449</v>
      </c>
      <c r="G21" s="7" t="s">
        <v>441</v>
      </c>
      <c r="H21" s="7" t="s">
        <v>450</v>
      </c>
    </row>
    <row r="23" customFormat="false" ht="15" hidden="false" customHeight="true" outlineLevel="0" collapsed="false">
      <c r="A23" s="4" t="s">
        <v>451</v>
      </c>
      <c r="B23" s="4"/>
      <c r="C23" s="4"/>
      <c r="D23" s="4"/>
      <c r="E23" s="4"/>
      <c r="F23" s="4"/>
      <c r="G23" s="4"/>
      <c r="H23" s="4"/>
    </row>
    <row r="24" customFormat="false" ht="30" hidden="false" customHeight="true" outlineLevel="0" collapsed="false">
      <c r="A24" s="6" t="s">
        <v>452</v>
      </c>
      <c r="B24" s="7" t="s">
        <v>453</v>
      </c>
      <c r="C24" s="7"/>
      <c r="D24" s="7"/>
      <c r="E24" s="7"/>
      <c r="F24" s="7"/>
      <c r="G24" s="7"/>
      <c r="H24" s="7"/>
    </row>
    <row r="25" customFormat="false" ht="30" hidden="false" customHeight="true" outlineLevel="0" collapsed="false">
      <c r="A25" s="6" t="s">
        <v>454</v>
      </c>
      <c r="B25" s="7" t="s">
        <v>455</v>
      </c>
      <c r="C25" s="7"/>
      <c r="D25" s="7"/>
      <c r="E25" s="7"/>
      <c r="F25" s="7"/>
      <c r="G25" s="7"/>
      <c r="H25" s="7"/>
    </row>
    <row r="26" customFormat="false" ht="30" hidden="false" customHeight="true" outlineLevel="0" collapsed="false">
      <c r="A26" s="6" t="s">
        <v>456</v>
      </c>
      <c r="B26" s="7" t="s">
        <v>457</v>
      </c>
      <c r="C26" s="7"/>
      <c r="D26" s="7"/>
      <c r="E26" s="7"/>
      <c r="F26" s="7"/>
      <c r="G26" s="7"/>
      <c r="H26" s="7"/>
    </row>
    <row r="27" customFormat="false" ht="30" hidden="false" customHeight="true" outlineLevel="0" collapsed="false">
      <c r="A27" s="6" t="s">
        <v>458</v>
      </c>
      <c r="B27" s="7" t="s">
        <v>459</v>
      </c>
      <c r="C27" s="7"/>
      <c r="D27" s="7"/>
      <c r="E27" s="7"/>
      <c r="F27" s="7"/>
      <c r="G27" s="7"/>
      <c r="H27" s="7"/>
    </row>
    <row r="28" customFormat="false" ht="30" hidden="false" customHeight="true" outlineLevel="0" collapsed="false">
      <c r="A28" s="6" t="s">
        <v>460</v>
      </c>
      <c r="B28" s="7" t="s">
        <v>461</v>
      </c>
      <c r="C28" s="7"/>
      <c r="D28" s="7"/>
      <c r="E28" s="7"/>
      <c r="F28" s="7"/>
      <c r="G28" s="7"/>
      <c r="H28" s="7"/>
    </row>
    <row r="29" customFormat="false" ht="30" hidden="false" customHeight="true" outlineLevel="0" collapsed="false">
      <c r="A29" s="6" t="s">
        <v>462</v>
      </c>
      <c r="B29" s="7" t="s">
        <v>463</v>
      </c>
      <c r="C29" s="7"/>
      <c r="D29" s="7"/>
      <c r="E29" s="7"/>
      <c r="F29" s="7"/>
      <c r="G29" s="7"/>
      <c r="H29" s="7"/>
    </row>
    <row r="30" customFormat="false" ht="30" hidden="false" customHeight="true" outlineLevel="0" collapsed="false">
      <c r="A30" s="6" t="s">
        <v>464</v>
      </c>
      <c r="B30" s="7" t="s">
        <v>465</v>
      </c>
      <c r="C30" s="7"/>
      <c r="D30" s="7"/>
      <c r="E30" s="7"/>
      <c r="F30" s="7"/>
      <c r="G30" s="7"/>
      <c r="H30" s="7"/>
    </row>
    <row r="31" customFormat="false" ht="30" hidden="false" customHeight="true" outlineLevel="0" collapsed="false">
      <c r="A31" s="6" t="s">
        <v>466</v>
      </c>
      <c r="B31" s="7" t="s">
        <v>467</v>
      </c>
      <c r="C31" s="7"/>
      <c r="D31" s="7"/>
      <c r="E31" s="7"/>
      <c r="F31" s="7"/>
      <c r="G31" s="7"/>
      <c r="H31" s="7"/>
    </row>
  </sheetData>
  <mergeCells count="13">
    <mergeCell ref="A1:H1"/>
    <mergeCell ref="A2:H2"/>
    <mergeCell ref="A4:H4"/>
    <mergeCell ref="A16:H16"/>
    <mergeCell ref="A23:H23"/>
    <mergeCell ref="B24:H24"/>
    <mergeCell ref="B25:H25"/>
    <mergeCell ref="B26:H26"/>
    <mergeCell ref="B27:H27"/>
    <mergeCell ref="B28:H28"/>
    <mergeCell ref="B29:H29"/>
    <mergeCell ref="B30:H30"/>
    <mergeCell ref="B31:H31"/>
  </mergeCells>
  <dataValidations count="1">
    <dataValidation allowBlank="true" errorStyle="stop" operator="between" showDropDown="false" showErrorMessage="false" showInputMessage="false" sqref="B6:B14" type="list">
      <formula1>"Yes,Partial,No"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3" min="3" style="1" width="16"/>
    <col collapsed="false" customWidth="true" hidden="false" outlineLevel="0" max="4" min="4" style="1" width="18"/>
    <col collapsed="false" customWidth="true" hidden="false" outlineLevel="0" max="5" min="5" style="1" width="40"/>
    <col collapsed="false" customWidth="true" hidden="false" outlineLevel="0" max="6" min="6" style="1" width="14"/>
  </cols>
  <sheetData>
    <row r="1" customFormat="false" ht="24" hidden="false" customHeight="true" outlineLevel="0" collapsed="false">
      <c r="A1" s="2" t="s">
        <v>468</v>
      </c>
      <c r="B1" s="2"/>
      <c r="C1" s="2"/>
      <c r="D1" s="2"/>
      <c r="E1" s="2"/>
      <c r="F1" s="2"/>
    </row>
    <row r="2" customFormat="false" ht="31.5" hidden="false" customHeight="true" outlineLevel="0" collapsed="false">
      <c r="A2" s="3" t="s">
        <v>469</v>
      </c>
      <c r="B2" s="3"/>
      <c r="C2" s="3"/>
      <c r="D2" s="3"/>
      <c r="E2" s="3"/>
      <c r="F2" s="3"/>
    </row>
    <row r="4" customFormat="false" ht="15" hidden="false" customHeight="true" outlineLevel="0" collapsed="false">
      <c r="A4" s="4" t="s">
        <v>470</v>
      </c>
      <c r="B4" s="4"/>
      <c r="C4" s="4"/>
      <c r="D4" s="4"/>
      <c r="E4" s="4"/>
      <c r="F4" s="4"/>
    </row>
    <row r="5" customFormat="false" ht="30" hidden="false" customHeight="true" outlineLevel="0" collapsed="false">
      <c r="A5" s="5" t="s">
        <v>471</v>
      </c>
      <c r="B5" s="5" t="s">
        <v>472</v>
      </c>
      <c r="C5" s="5" t="s">
        <v>473</v>
      </c>
      <c r="D5" s="5" t="s">
        <v>474</v>
      </c>
      <c r="E5" s="5" t="s">
        <v>395</v>
      </c>
      <c r="F5" s="5" t="s">
        <v>475</v>
      </c>
    </row>
    <row r="6" customFormat="false" ht="15" hidden="false" customHeight="true" outlineLevel="0" collapsed="false">
      <c r="A6" s="8" t="s">
        <v>476</v>
      </c>
      <c r="B6" s="9" t="s">
        <v>477</v>
      </c>
      <c r="C6" s="7" t="n">
        <v>30</v>
      </c>
      <c r="D6" s="13" t="n">
        <f aca="false">COUNTIF(02_ASSETS!T5:T154,"Ready")</f>
        <v>30</v>
      </c>
      <c r="E6" s="7" t="s">
        <v>478</v>
      </c>
      <c r="F6" s="10" t="str">
        <f aca="false">IF(C6="","",IF(C6&gt;=30,"MET","NOT MET"))</f>
        <v>MET</v>
      </c>
    </row>
    <row r="7" customFormat="false" ht="15" hidden="false" customHeight="true" outlineLevel="0" collapsed="false">
      <c r="A7" s="8" t="s">
        <v>479</v>
      </c>
      <c r="B7" s="9" t="s">
        <v>480</v>
      </c>
      <c r="C7" s="7" t="n">
        <v>3</v>
      </c>
      <c r="D7" s="13" t="s">
        <v>481</v>
      </c>
      <c r="E7" s="7" t="s">
        <v>482</v>
      </c>
      <c r="F7" s="10" t="str">
        <f aca="false">IF(C7="","",IF(C7&gt;=3,"MET","NOT MET"))</f>
        <v>MET</v>
      </c>
    </row>
    <row r="8" customFormat="false" ht="15" hidden="false" customHeight="true" outlineLevel="0" collapsed="false">
      <c r="A8" s="8" t="s">
        <v>483</v>
      </c>
      <c r="B8" s="9" t="s">
        <v>484</v>
      </c>
      <c r="C8" s="7" t="n">
        <v>10</v>
      </c>
      <c r="D8" s="13" t="n">
        <f aca="false">COUNTIFS(02_ASSETS!C5:C154,"Short video",02_ASSETS!T5:T154,"Ready")</f>
        <v>10</v>
      </c>
      <c r="E8" s="7" t="s">
        <v>485</v>
      </c>
      <c r="F8" s="10" t="str">
        <f aca="false">IF(C8="","",IF(C8&gt;=10,"MET","NOT MET"))</f>
        <v>MET</v>
      </c>
    </row>
    <row r="9" customFormat="false" ht="15" hidden="false" customHeight="true" outlineLevel="0" collapsed="false">
      <c r="A9" s="8" t="s">
        <v>486</v>
      </c>
      <c r="B9" s="9" t="s">
        <v>487</v>
      </c>
      <c r="C9" s="7" t="n">
        <v>10</v>
      </c>
      <c r="D9" s="13" t="n">
        <f aca="false">COUNTIFS(02_ASSETS!C5:C154,"Carousel",02_ASSETS!T5:T154,"Ready")+COUNTIFS(02_ASSETS!C5:C154,"Graphic",02_ASSETS!T5:T154,"Ready")</f>
        <v>10</v>
      </c>
      <c r="E9" s="7" t="s">
        <v>488</v>
      </c>
      <c r="F9" s="10" t="str">
        <f aca="false">IF(C9="","",IF(C9&gt;=5,"MET","NOT MET"))</f>
        <v>MET</v>
      </c>
    </row>
    <row r="10" customFormat="false" ht="15" hidden="false" customHeight="true" outlineLevel="0" collapsed="false">
      <c r="A10" s="8" t="s">
        <v>489</v>
      </c>
      <c r="B10" s="9" t="s">
        <v>490</v>
      </c>
      <c r="C10" s="7" t="n">
        <v>0</v>
      </c>
      <c r="D10" s="13" t="n">
        <f aca="false">COUNTIF(02_ASSETS!M5:M154,"No")</f>
        <v>0</v>
      </c>
      <c r="E10" s="7" t="s">
        <v>491</v>
      </c>
      <c r="F10" s="10" t="str">
        <f aca="false">IF(C10="","",IF(C10=0,"MET","NOT MET"))</f>
        <v>MET</v>
      </c>
    </row>
    <row r="11" customFormat="false" ht="15" hidden="false" customHeight="true" outlineLevel="0" collapsed="false">
      <c r="A11" s="8" t="s">
        <v>492</v>
      </c>
      <c r="B11" s="9" t="s">
        <v>132</v>
      </c>
      <c r="C11" s="7" t="s">
        <v>132</v>
      </c>
      <c r="D11" s="13" t="s">
        <v>481</v>
      </c>
      <c r="E11" s="7" t="s">
        <v>493</v>
      </c>
      <c r="F11" s="10" t="str">
        <f aca="false">IF(C11="","",IF(C11="Yes","MET","NOT MET"))</f>
        <v>MET</v>
      </c>
    </row>
    <row r="12" customFormat="false" ht="23.25" hidden="false" customHeight="true" outlineLevel="0" collapsed="false">
      <c r="A12" s="8" t="s">
        <v>494</v>
      </c>
      <c r="B12" s="9" t="s">
        <v>132</v>
      </c>
      <c r="C12" s="7"/>
      <c r="D12" s="13" t="s">
        <v>481</v>
      </c>
      <c r="E12" s="7" t="s">
        <v>495</v>
      </c>
      <c r="F12" s="10" t="str">
        <f aca="false">IF(C12="","",IF(C12="Yes","MET","NOT MET"))</f>
        <v/>
      </c>
    </row>
    <row r="13" customFormat="false" ht="27.75" hidden="false" customHeight="true" outlineLevel="0" collapsed="false">
      <c r="A13" s="3" t="s">
        <v>496</v>
      </c>
      <c r="B13" s="3"/>
      <c r="C13" s="3"/>
      <c r="D13" s="3"/>
      <c r="E13" s="3"/>
      <c r="F13" s="3"/>
    </row>
    <row r="15" customFormat="false" ht="15" hidden="false" customHeight="true" outlineLevel="0" collapsed="false">
      <c r="A15" s="4" t="s">
        <v>497</v>
      </c>
      <c r="B15" s="4"/>
      <c r="C15" s="4"/>
      <c r="D15" s="4"/>
      <c r="E15" s="4"/>
      <c r="F15" s="4"/>
    </row>
    <row r="16" customFormat="false" ht="30" hidden="false" customHeight="true" outlineLevel="0" collapsed="false">
      <c r="A16" s="5" t="s">
        <v>393</v>
      </c>
      <c r="B16" s="5" t="s">
        <v>498</v>
      </c>
      <c r="C16" s="5" t="s">
        <v>473</v>
      </c>
      <c r="D16" s="5"/>
      <c r="E16" s="5" t="s">
        <v>395</v>
      </c>
      <c r="F16" s="5"/>
    </row>
    <row r="17" customFormat="false" ht="30" hidden="false" customHeight="true" outlineLevel="0" collapsed="false">
      <c r="A17" s="8" t="s">
        <v>499</v>
      </c>
      <c r="B17" s="7" t="s">
        <v>133</v>
      </c>
      <c r="C17" s="7" t="s">
        <v>500</v>
      </c>
      <c r="E17" s="7"/>
    </row>
    <row r="18" customFormat="false" ht="30" hidden="false" customHeight="true" outlineLevel="0" collapsed="false">
      <c r="A18" s="8" t="s">
        <v>501</v>
      </c>
      <c r="B18" s="7" t="s">
        <v>133</v>
      </c>
      <c r="C18" s="7" t="s">
        <v>502</v>
      </c>
      <c r="E18" s="7"/>
    </row>
    <row r="19" customFormat="false" ht="30" hidden="false" customHeight="true" outlineLevel="0" collapsed="false">
      <c r="A19" s="8" t="s">
        <v>503</v>
      </c>
      <c r="B19" s="7" t="s">
        <v>132</v>
      </c>
      <c r="C19" s="7" t="s">
        <v>504</v>
      </c>
      <c r="E19" s="7" t="s">
        <v>505</v>
      </c>
    </row>
    <row r="20" customFormat="false" ht="30" hidden="false" customHeight="true" outlineLevel="0" collapsed="false">
      <c r="A20" s="8" t="s">
        <v>506</v>
      </c>
      <c r="B20" s="7" t="s">
        <v>133</v>
      </c>
      <c r="C20" s="7" t="s">
        <v>507</v>
      </c>
      <c r="E20" s="7"/>
    </row>
    <row r="22" customFormat="false" ht="15" hidden="false" customHeight="true" outlineLevel="0" collapsed="false">
      <c r="A22" s="4" t="s">
        <v>508</v>
      </c>
      <c r="B22" s="4"/>
      <c r="C22" s="4"/>
      <c r="D22" s="4"/>
      <c r="E22" s="4"/>
      <c r="F22" s="4"/>
    </row>
    <row r="23" customFormat="false" ht="30" hidden="false" customHeight="true" outlineLevel="0" collapsed="false">
      <c r="A23" s="5" t="s">
        <v>509</v>
      </c>
      <c r="B23" s="5" t="s">
        <v>510</v>
      </c>
      <c r="C23" s="5" t="s">
        <v>511</v>
      </c>
      <c r="D23" s="5"/>
      <c r="E23" s="5" t="s">
        <v>512</v>
      </c>
      <c r="F23" s="5"/>
    </row>
    <row r="24" customFormat="false" ht="30" hidden="false" customHeight="true" outlineLevel="0" collapsed="false">
      <c r="A24" s="6" t="s">
        <v>513</v>
      </c>
      <c r="B24" s="9" t="n">
        <v>10</v>
      </c>
      <c r="C24" s="7" t="n">
        <v>7</v>
      </c>
      <c r="E24" s="7" t="s">
        <v>514</v>
      </c>
      <c r="F24" s="7"/>
    </row>
    <row r="25" customFormat="false" ht="30" hidden="false" customHeight="true" outlineLevel="0" collapsed="false">
      <c r="A25" s="6" t="s">
        <v>515</v>
      </c>
      <c r="B25" s="9" t="n">
        <v>35</v>
      </c>
      <c r="C25" s="7" t="n">
        <v>19</v>
      </c>
      <c r="E25" s="7" t="s">
        <v>516</v>
      </c>
      <c r="F25" s="7"/>
    </row>
    <row r="26" customFormat="false" ht="30" hidden="false" customHeight="true" outlineLevel="0" collapsed="false">
      <c r="A26" s="6" t="s">
        <v>517</v>
      </c>
      <c r="B26" s="9" t="n">
        <v>20</v>
      </c>
      <c r="C26" s="7" t="n">
        <v>14</v>
      </c>
      <c r="E26" s="7" t="s">
        <v>518</v>
      </c>
      <c r="F26" s="7"/>
    </row>
    <row r="27" customFormat="false" ht="30" hidden="false" customHeight="true" outlineLevel="0" collapsed="false">
      <c r="A27" s="6" t="s">
        <v>519</v>
      </c>
      <c r="B27" s="9" t="n">
        <v>10</v>
      </c>
      <c r="C27" s="7" t="n">
        <v>7</v>
      </c>
      <c r="E27" s="7" t="s">
        <v>520</v>
      </c>
      <c r="F27" s="7"/>
    </row>
    <row r="28" customFormat="false" ht="30" hidden="false" customHeight="true" outlineLevel="0" collapsed="false">
      <c r="A28" s="6" t="s">
        <v>521</v>
      </c>
      <c r="B28" s="9" t="n">
        <v>25</v>
      </c>
      <c r="C28" s="7"/>
      <c r="E28" s="7" t="s">
        <v>522</v>
      </c>
      <c r="F28" s="7"/>
    </row>
    <row r="29" customFormat="false" ht="15" hidden="false" customHeight="true" outlineLevel="0" collapsed="false">
      <c r="A29" s="5" t="s">
        <v>523</v>
      </c>
      <c r="B29" s="14" t="n">
        <v>100</v>
      </c>
      <c r="C29" s="10" t="n">
        <f aca="false">SUM(C24:C28)</f>
        <v>47</v>
      </c>
    </row>
  </sheetData>
  <mergeCells count="11">
    <mergeCell ref="A1:F1"/>
    <mergeCell ref="A2:F2"/>
    <mergeCell ref="A4:F4"/>
    <mergeCell ref="A13:F13"/>
    <mergeCell ref="A15:F15"/>
    <mergeCell ref="A22:F22"/>
    <mergeCell ref="E24:F24"/>
    <mergeCell ref="E25:F25"/>
    <mergeCell ref="E26:F26"/>
    <mergeCell ref="E27:F27"/>
    <mergeCell ref="E28:F28"/>
  </mergeCells>
  <conditionalFormatting sqref="F6:F12">
    <cfRule type="expression" priority="2" aboveAverage="0" equalAverage="0" bottom="0" percent="0" rank="0" text="" dxfId="0">
      <formula>F6="NOT MET"</formula>
    </cfRule>
    <cfRule type="expression" priority="3" aboveAverage="0" equalAverage="0" bottom="0" percent="0" rank="0" text="" dxfId="1">
      <formula>F6="MET"</formula>
    </cfRule>
  </conditionalFormatting>
  <dataValidations count="7">
    <dataValidation allowBlank="true" errorStyle="stop" operator="between" showDropDown="false" showErrorMessage="false" showInputMessage="false" sqref="C11" type="list">
      <formula1>"Yes,No"</formula1>
      <formula2>0</formula2>
    </dataValidation>
    <dataValidation allowBlank="true" errorStyle="stop" operator="between" showDropDown="false" showErrorMessage="false" showInputMessage="false" sqref="C12" type="list">
      <formula1>"Yes,No"</formula1>
      <formula2>0</formula2>
    </dataValidation>
    <dataValidation allowBlank="true" errorStyle="stop" operator="between" showDropDown="false" showErrorMessage="false" showInputMessage="false" sqref="B17:B20" type="list">
      <formula1>"Yes,No"</formula1>
      <formula2>0</formula2>
    </dataValidation>
    <dataValidation allowBlank="true" errorStyle="stop" operator="between" showDropDown="false" showErrorMessage="false" showInputMessage="false" sqref="C24 C27" type="whole">
      <formula1>0</formula1>
      <formula2>10</formula2>
    </dataValidation>
    <dataValidation allowBlank="true" errorStyle="stop" operator="between" showDropDown="false" showErrorMessage="false" showInputMessage="false" sqref="C25" type="whole">
      <formula1>0</formula1>
      <formula2>35</formula2>
    </dataValidation>
    <dataValidation allowBlank="true" errorStyle="stop" operator="between" showDropDown="false" showErrorMessage="false" showInputMessage="false" sqref="C26" type="whole">
      <formula1>0</formula1>
      <formula2>20</formula2>
    </dataValidation>
    <dataValidation allowBlank="true" errorStyle="stop" operator="between" showDropDown="false" showErrorMessage="false" showInputMessage="false" sqref="C28" type="whole">
      <formula1>0</formula1>
      <formula2>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2026-10-13T09:38:48Z</dcterms:created>
  <dc:creator>openpyxl</dc:creator>
  <dc:description/>
  <dc:language>en-US</dc:language>
  <cp:lastModifiedBy/>
  <dcterms:modified xsi:type="dcterms:W3CDTF">2026-10-24T15:23:49Z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